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CLF/"/>
    </mc:Choice>
  </mc:AlternateContent>
  <xr:revisionPtr revIDLastSave="0" documentId="13_ncr:1_{C03F2E66-A458-FE44-A9F7-C0DBD078D582}" xr6:coauthVersionLast="45" xr6:coauthVersionMax="45" xr10:uidLastSave="{00000000-0000-0000-0000-000000000000}"/>
  <bookViews>
    <workbookView xWindow="5000" yWindow="1300" windowWidth="28880" windowHeight="18420" xr2:uid="{45C669DA-AD5E-ED43-858E-190DA238CE46}"/>
  </bookViews>
  <sheets>
    <sheet name="mod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5" i="1" l="1"/>
  <c r="C46" i="1" s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G42" i="1"/>
  <c r="E42" i="1"/>
  <c r="D42" i="1"/>
  <c r="C42" i="1"/>
  <c r="M42" i="1"/>
  <c r="K42" i="1"/>
  <c r="N4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41" i="1"/>
  <c r="M41" i="1"/>
  <c r="L41" i="1"/>
  <c r="K41" i="1"/>
  <c r="J41" i="1"/>
  <c r="I41" i="1"/>
  <c r="H41" i="1"/>
  <c r="G41" i="1"/>
  <c r="F41" i="1"/>
  <c r="E41" i="1"/>
  <c r="D41" i="1"/>
  <c r="C41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U17" i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T17" i="1"/>
  <c r="S17" i="1"/>
  <c r="F46" i="1"/>
  <c r="F25" i="1"/>
  <c r="F26" i="1"/>
  <c r="M32" i="1"/>
  <c r="L32" i="1"/>
  <c r="E36" i="1"/>
  <c r="D36" i="1"/>
  <c r="C36" i="1"/>
  <c r="E32" i="1"/>
  <c r="D32" i="1"/>
  <c r="C32" i="1"/>
  <c r="E26" i="1"/>
  <c r="D26" i="1"/>
  <c r="C26" i="1"/>
  <c r="N25" i="1"/>
  <c r="M25" i="1"/>
  <c r="L25" i="1"/>
  <c r="K25" i="1"/>
  <c r="J25" i="1"/>
  <c r="I25" i="1"/>
  <c r="H25" i="1"/>
  <c r="G25" i="1"/>
  <c r="E25" i="1"/>
  <c r="D25" i="1"/>
  <c r="C25" i="1"/>
  <c r="E19" i="1"/>
  <c r="D19" i="1"/>
  <c r="N17" i="1"/>
  <c r="N19" i="1" s="1"/>
  <c r="M17" i="1"/>
  <c r="M19" i="1" s="1"/>
  <c r="L17" i="1"/>
  <c r="L19" i="1" s="1"/>
  <c r="K17" i="1"/>
  <c r="K19" i="1" s="1"/>
  <c r="J17" i="1"/>
  <c r="J19" i="1" s="1"/>
  <c r="I17" i="1"/>
  <c r="I19" i="1" s="1"/>
  <c r="H17" i="1"/>
  <c r="H19" i="1" s="1"/>
  <c r="G17" i="1"/>
  <c r="G19" i="1" s="1"/>
  <c r="F17" i="1"/>
  <c r="F19" i="1" s="1"/>
  <c r="E17" i="1"/>
  <c r="D17" i="1"/>
  <c r="C19" i="1"/>
  <c r="C17" i="1"/>
  <c r="F32" i="1" l="1"/>
  <c r="F36" i="1" s="1"/>
  <c r="G26" i="1"/>
  <c r="G32" i="1" s="1"/>
  <c r="G36" i="1" s="1"/>
  <c r="H26" i="1"/>
  <c r="H32" i="1" s="1"/>
  <c r="H36" i="1" s="1"/>
  <c r="I26" i="1"/>
  <c r="I32" i="1" s="1"/>
  <c r="I36" i="1" s="1"/>
  <c r="J26" i="1"/>
  <c r="J32" i="1" s="1"/>
  <c r="J36" i="1" s="1"/>
  <c r="K26" i="1"/>
  <c r="K32" i="1" s="1"/>
  <c r="K36" i="1" s="1"/>
  <c r="N26" i="1"/>
  <c r="M26" i="1"/>
  <c r="M36" i="1" s="1"/>
  <c r="L26" i="1"/>
  <c r="L36" i="1" s="1"/>
  <c r="N32" i="1" l="1"/>
  <c r="N36" i="1" s="1"/>
</calcChain>
</file>

<file path=xl/sharedStrings.xml><?xml version="1.0" encoding="utf-8"?>
<sst xmlns="http://schemas.openxmlformats.org/spreadsheetml/2006/main" count="77" uniqueCount="76">
  <si>
    <t>US</t>
  </si>
  <si>
    <t>China</t>
  </si>
  <si>
    <t>Canada</t>
  </si>
  <si>
    <t>Other Countries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</si>
  <si>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</si>
  <si>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</si>
  <si>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</si>
  <si>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</si>
  <si>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</si>
  <si>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</si>
  <si>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</si>
  <si>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</si>
  <si>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</si>
  <si>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</si>
  <si>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</si>
  <si>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</si>
  <si>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</si>
  <si>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</si>
  <si>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Product</t>
  </si>
  <si>
    <t>Reimbursments</t>
  </si>
  <si>
    <t>Rev</t>
  </si>
  <si>
    <t>COGS</t>
  </si>
  <si>
    <t>SG&amp;A</t>
  </si>
  <si>
    <t>Exploration</t>
  </si>
  <si>
    <t>Goodwill</t>
  </si>
  <si>
    <t>Acquistion Costs</t>
  </si>
  <si>
    <t>Op Expense</t>
  </si>
  <si>
    <t>Op Income</t>
  </si>
  <si>
    <t>None Operation Income net</t>
  </si>
  <si>
    <t>Pre Tax</t>
  </si>
  <si>
    <t>Tax</t>
  </si>
  <si>
    <t>Equity Income from Ventures</t>
  </si>
  <si>
    <t>Gain from sale of Op net</t>
  </si>
  <si>
    <t>Net Income</t>
  </si>
  <si>
    <t>Gross Profit</t>
  </si>
  <si>
    <t>US Iron Ore</t>
  </si>
  <si>
    <t>Eastern Canadian Iron Ore</t>
  </si>
  <si>
    <t>Asia Pacific Iron Ore</t>
  </si>
  <si>
    <t>North American Coal</t>
  </si>
  <si>
    <t xml:space="preserve">Other </t>
  </si>
  <si>
    <t>Rev by Country</t>
  </si>
  <si>
    <t>Rev by Product sales + services</t>
  </si>
  <si>
    <t>Miscellaneous Net</t>
  </si>
  <si>
    <t>fx changes net</t>
  </si>
  <si>
    <t>Interest Expense net</t>
  </si>
  <si>
    <t xml:space="preserve">EPS </t>
  </si>
  <si>
    <t>Share</t>
  </si>
  <si>
    <t>Gain(loss) on Debt</t>
  </si>
  <si>
    <t>benefit credits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</si>
  <si>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</si>
  <si>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</si>
  <si>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</si>
  <si>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</si>
  <si>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</si>
  <si>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</si>
  <si>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</si>
  <si>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</si>
  <si>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</si>
  <si>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</si>
  <si>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</si>
  <si>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</si>
  <si>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</si>
  <si>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</si>
  <si>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</si>
  <si>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</si>
  <si>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rev y/y</t>
  </si>
  <si>
    <t>gross margin</t>
  </si>
  <si>
    <t>Discount</t>
  </si>
  <si>
    <t>NPV</t>
  </si>
  <si>
    <t>Price</t>
  </si>
  <si>
    <t>Shares</t>
  </si>
  <si>
    <t>MC</t>
  </si>
  <si>
    <t xml:space="preserve">Cash </t>
  </si>
  <si>
    <t>Debt</t>
  </si>
  <si>
    <t>Tax Rate</t>
  </si>
  <si>
    <t>Terminal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</si>
</sst>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Font="1"/>
    <xf numFmtId="14" fontId="2" fillId="0" borderId="0" xfId="0" applyNumberFormat="1" applyFont="1"/>
    <xf numFmtId="0" fontId="2" fillId="2" borderId="0" xfId="0" applyFont="1" applyFill="1"/>
    <xf numFmtId="14" fontId="0" fillId="0" borderId="0" xfId="0" applyNumberFormat="1" applyFont="1"/>
    <xf numFmtId="0" fontId="0" fillId="3" borderId="0" xfId="0" applyFill="1"/>
    <xf numFmtId="0" fontId="2" fillId="3" borderId="0" xfId="0" applyFont="1" applyFill="1"/>
    <xf numFmtId="14" fontId="2" fillId="3" borderId="0" xfId="0" applyNumberFormat="1" applyFont="1" applyFill="1"/>
    <xf numFmtId="4" fontId="0" fillId="0" borderId="0" xfId="0" applyNumberFormat="1"/>
    <xf numFmtId="0" fontId="0" fillId="0" borderId="0" xfId="2" applyNumberFormat="1" applyFont="1"/>
    <xf numFmtId="4" fontId="2" fillId="0" borderId="0" xfId="0" applyNumberFormat="1" applyFont="1"/>
    <xf numFmtId="4" fontId="0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2" fillId="2" borderId="0" xfId="0" applyNumberFormat="1" applyFont="1" applyFill="1"/>
    <xf numFmtId="0" fontId="0" fillId="4" borderId="0" xfId="0" applyFill="1"/>
    <xf numFmtId="44" fontId="0" fillId="4" borderId="0" xfId="2" applyFont="1" applyFill="1" applyAlignment="1">
      <alignment horizontal="center"/>
    </xf>
    <xf numFmtId="43" fontId="0" fillId="4" borderId="0" xfId="1" applyFont="1" applyFill="1" applyAlignment="1">
      <alignment horizontal="center"/>
    </xf>
    <xf numFmtId="9" fontId="0" fillId="0" borderId="0" xfId="0" applyNumberFormat="1"/>
    <xf numFmtId="3" fontId="2" fillId="0" borderId="0" xfId="0" applyNumberFormat="1" applyFont="1"/>
    <xf numFmtId="9" fontId="0" fillId="0" borderId="0" xfId="3" applyFont="1"/>
    <xf numFmtId="0" fontId="0" fillId="0" borderId="0" xfId="1" applyNumberFormat="1" applyFont="1"/>
    <xf numFmtId="9" fontId="3" fillId="5" borderId="0" xfId="0" applyNumberFormat="1" applyFont="1" applyFill="1"/>
    <xf numFmtId="0" fontId="0" fillId="5" borderId="0" xfId="0" applyFill="1"/>
    <xf numFmtId="9" fontId="0" fillId="5" borderId="0" xfId="3" applyFont="1" applyFill="1"/>
    <xf numFmtId="4" fontId="4" fillId="2" borderId="0" xfId="0" applyNumberFormat="1" applyFont="1" applyFill="1"/>
    <xf numFmtId="0" fontId="0" fillId="6" borderId="0" xfId="0" applyFill="1" applyAlignment="1">
      <alignment horizontal="center"/>
    </xf>
    <xf numFmtId="9" fontId="0" fillId="6" borderId="0" xfId="0" applyNumberFormat="1" applyFill="1"/>
    <xf numFmtId="4" fontId="4" fillId="0" borderId="0" xfId="0" applyNumberFormat="1" applyFont="1" applyFill="1"/>
    <xf numFmtId="9" fontId="0" fillId="3" borderId="0" xfId="0" applyNumberFormat="1" applyFill="1"/>
    <xf numFmtId="8" fontId="0" fillId="3" borderId="0" xfId="0" applyNumberFormat="1" applyFill="1" applyAlignment="1">
      <alignment horizontal="center"/>
    </xf>
    <xf numFmtId="44" fontId="0" fillId="3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12700</xdr:rowOff>
    </xdr:from>
    <xdr:to>
      <xdr:col>14</xdr:col>
      <xdr:colOff>12700</xdr:colOff>
      <xdr:row>44</xdr:row>
      <xdr:rowOff>12700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19BDA8F-6A0F-4F49-9778-BDCF48696433}"/>
            </a:ext>
          </a:extLst>
        </xdr:cNvPr>
        <xdr:cNvCxnSpPr/>
      </xdr:nvCxnSpPr>
      <xdr:spPr>
        <a:xfrm flipH="1">
          <a:off x="12852400" y="1638300"/>
          <a:ext cx="12700" cy="7315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6978-475A-3444-8541-3F542E6C3B30}">
  <dimension ref="B1:BH48"/>
  <sheetViews>
    <sheetView tabSelected="1" topLeftCell="A8" workbookViewId="0">
      <selection activeCell="I48" sqref="I48"/>
    </sheetView>
  </sheetViews>
  <sheetFormatPr baseColWidth="10" defaultRowHeight="16" x14ac:dyDescent="0.2"/>
  <cols>
    <col min="2" max="2" width="27.33203125" customWidth="1"/>
    <col min="3" max="3" width="11.33203125" customWidth="1"/>
    <col min="6" max="6" width="10.83203125" customWidth="1"/>
  </cols>
  <sheetData>
    <row r="1" spans="2:32" x14ac:dyDescent="0.2">
      <c r="B1" s="3">
        <v>45044</v>
      </c>
    </row>
    <row r="2" spans="2:32" x14ac:dyDescent="0.2">
      <c r="B2" s="3"/>
    </row>
    <row r="3" spans="2:32" x14ac:dyDescent="0.2">
      <c r="B3" s="8" t="s">
        <v>41</v>
      </c>
      <c r="C3" s="10"/>
    </row>
    <row r="4" spans="2:32" x14ac:dyDescent="0.2">
      <c r="B4" s="5" t="s">
        <v>35</v>
      </c>
      <c r="C4" s="9">
        <v>3509.9</v>
      </c>
      <c r="D4" s="9">
        <v>2723.3</v>
      </c>
      <c r="E4" s="9">
        <v>2667.9</v>
      </c>
      <c r="F4" s="9">
        <v>2506.5</v>
      </c>
      <c r="G4" s="9">
        <v>1525.4</v>
      </c>
      <c r="H4" s="9">
        <v>1554.5</v>
      </c>
      <c r="M4" s="15"/>
      <c r="N4" s="15"/>
    </row>
    <row r="5" spans="2:32" x14ac:dyDescent="0.2">
      <c r="B5" s="5" t="s">
        <v>36</v>
      </c>
      <c r="C5" s="9">
        <v>1178.0999999999999</v>
      </c>
      <c r="D5" s="9">
        <v>1008.9</v>
      </c>
      <c r="E5">
        <v>978.7</v>
      </c>
      <c r="M5" s="14"/>
      <c r="N5" s="14"/>
    </row>
    <row r="6" spans="2:32" x14ac:dyDescent="0.2">
      <c r="B6" t="s">
        <v>37</v>
      </c>
      <c r="C6" s="9">
        <v>1363.5</v>
      </c>
      <c r="D6" s="9">
        <v>1259.3</v>
      </c>
      <c r="E6" s="9">
        <v>1224.3</v>
      </c>
      <c r="F6" s="9">
        <v>866.7</v>
      </c>
      <c r="G6" s="9">
        <v>487.9</v>
      </c>
      <c r="H6" s="9">
        <v>554.5</v>
      </c>
      <c r="M6" s="14"/>
      <c r="N6" s="14"/>
    </row>
    <row r="7" spans="2:32" x14ac:dyDescent="0.2">
      <c r="B7" s="5" t="s">
        <v>38</v>
      </c>
      <c r="C7" s="9">
        <v>512.1</v>
      </c>
      <c r="D7" s="9">
        <v>881.1</v>
      </c>
      <c r="E7">
        <v>821.9</v>
      </c>
    </row>
    <row r="8" spans="2:32" x14ac:dyDescent="0.2">
      <c r="B8" s="5" t="s">
        <v>39</v>
      </c>
      <c r="C8" s="9">
        <v>0.3</v>
      </c>
      <c r="D8" s="9">
        <v>0.1</v>
      </c>
      <c r="E8" s="9">
        <v>-1.4</v>
      </c>
    </row>
    <row r="9" spans="2:32" x14ac:dyDescent="0.2">
      <c r="B9" s="7" t="s">
        <v>40</v>
      </c>
    </row>
    <row r="10" spans="2:32" x14ac:dyDescent="0.2">
      <c r="B10" t="s">
        <v>0</v>
      </c>
      <c r="C10" s="9">
        <v>2774.1</v>
      </c>
      <c r="D10" s="9">
        <v>2108.5</v>
      </c>
      <c r="E10" s="9">
        <v>1857.6</v>
      </c>
      <c r="F10" s="9">
        <v>1923.2</v>
      </c>
      <c r="G10" s="9">
        <v>1206.4000000000001</v>
      </c>
      <c r="H10" s="9">
        <v>1236.2</v>
      </c>
      <c r="I10" s="9">
        <v>1504.5</v>
      </c>
      <c r="J10" s="9">
        <v>1847.3</v>
      </c>
      <c r="K10" s="9">
        <v>1505.2</v>
      </c>
      <c r="L10" s="13">
        <v>4580</v>
      </c>
      <c r="M10" s="13">
        <v>18881</v>
      </c>
      <c r="N10" s="13">
        <v>20991</v>
      </c>
    </row>
    <row r="11" spans="2:32" x14ac:dyDescent="0.2">
      <c r="B11" t="s">
        <v>1</v>
      </c>
      <c r="C11" s="9">
        <v>2114.5</v>
      </c>
      <c r="D11" s="9">
        <v>2008.2</v>
      </c>
      <c r="E11" s="9">
        <v>1909.4</v>
      </c>
      <c r="F11" s="9">
        <v>662.7</v>
      </c>
      <c r="G11" s="9">
        <v>370.8</v>
      </c>
      <c r="H11" s="9">
        <v>452.5</v>
      </c>
    </row>
    <row r="12" spans="2:32" x14ac:dyDescent="0.2">
      <c r="B12" t="s">
        <v>2</v>
      </c>
      <c r="C12" s="9">
        <v>914.3</v>
      </c>
      <c r="D12" s="9">
        <v>728.1</v>
      </c>
      <c r="E12" s="9">
        <v>871.2</v>
      </c>
      <c r="F12" s="9">
        <v>430.5</v>
      </c>
      <c r="G12" s="9">
        <v>282.39999999999998</v>
      </c>
      <c r="H12" s="9">
        <v>267.10000000000002</v>
      </c>
      <c r="I12">
        <v>206.2</v>
      </c>
      <c r="J12">
        <v>395.1</v>
      </c>
      <c r="K12">
        <v>448.1</v>
      </c>
      <c r="L12">
        <v>602</v>
      </c>
      <c r="M12">
        <v>803</v>
      </c>
      <c r="N12">
        <v>963</v>
      </c>
    </row>
    <row r="13" spans="2:32" x14ac:dyDescent="0.2">
      <c r="B13" t="s">
        <v>3</v>
      </c>
      <c r="C13" s="9">
        <v>761</v>
      </c>
      <c r="D13" s="9">
        <v>1027.9000000000001</v>
      </c>
      <c r="E13" s="9">
        <v>1053.2</v>
      </c>
      <c r="F13" s="9">
        <v>356.8</v>
      </c>
      <c r="G13" s="9">
        <v>153.69999999999999</v>
      </c>
      <c r="H13" s="9">
        <v>153.19999999999999</v>
      </c>
      <c r="I13">
        <v>155.30000000000001</v>
      </c>
      <c r="J13">
        <v>90</v>
      </c>
      <c r="K13">
        <v>36.6</v>
      </c>
      <c r="L13">
        <v>172</v>
      </c>
      <c r="M13">
        <v>760</v>
      </c>
      <c r="N13" s="13">
        <v>1035</v>
      </c>
    </row>
    <row r="14" spans="2:32" x14ac:dyDescent="0.2"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10</v>
      </c>
      <c r="J14" s="1" t="s">
        <v>11</v>
      </c>
      <c r="K14" s="1" t="s">
        <v>12</v>
      </c>
      <c r="L14" s="1" t="s">
        <v>13</v>
      </c>
      <c r="M14" s="1" t="s">
        <v>14</v>
      </c>
      <c r="N14" s="1" t="s">
        <v>15</v>
      </c>
      <c r="O14" s="1" t="s">
        <v>16</v>
      </c>
      <c r="P14" s="1" t="s">
        <v>17</v>
      </c>
      <c r="Q14" s="1" t="s">
        <v>49</v>
      </c>
      <c r="R14" s="1" t="s">
        <v>50</v>
      </c>
      <c r="S14" s="1" t="s">
        <v>51</v>
      </c>
      <c r="T14" s="1" t="s">
        <v>52</v>
      </c>
      <c r="U14" s="1" t="s">
        <v>53</v>
      </c>
      <c r="V14" s="1" t="s">
        <v>54</v>
      </c>
      <c r="W14" s="1" t="s">
        <v>55</v>
      </c>
      <c r="X14" s="1" t="s">
        <v>56</v>
      </c>
      <c r="Y14" s="1" t="s">
        <v>57</v>
      </c>
      <c r="Z14" s="1" t="s">
        <v>58</v>
      </c>
      <c r="AA14" s="1" t="s">
        <v>59</v>
      </c>
      <c r="AB14" s="1" t="s">
        <v>60</v>
      </c>
      <c r="AC14" s="1" t="s">
        <v>61</v>
      </c>
      <c r="AD14" s="1" t="s">
        <v>62</v>
      </c>
      <c r="AE14" s="1" t="s">
        <v>63</v>
      </c>
      <c r="AF14" s="1" t="s">
        <v>64</v>
      </c>
    </row>
    <row r="15" spans="2:32" x14ac:dyDescent="0.2">
      <c r="B15" t="s">
        <v>18</v>
      </c>
      <c r="C15" s="9">
        <v>6321.3</v>
      </c>
      <c r="D15" s="9">
        <v>5520.9</v>
      </c>
      <c r="E15" s="9">
        <v>5346.6</v>
      </c>
      <c r="F15" s="9">
        <v>3095.2</v>
      </c>
      <c r="G15" s="9">
        <v>1832.4</v>
      </c>
      <c r="H15" s="9">
        <v>1913.5</v>
      </c>
      <c r="I15" s="9">
        <v>1866</v>
      </c>
      <c r="J15" s="9">
        <v>2332.4</v>
      </c>
      <c r="K15" s="9">
        <v>1989.9</v>
      </c>
      <c r="L15" s="13">
        <v>5354</v>
      </c>
      <c r="M15" s="13">
        <v>20444</v>
      </c>
      <c r="N15" s="13">
        <v>22989</v>
      </c>
    </row>
    <row r="16" spans="2:32" x14ac:dyDescent="0.2">
      <c r="B16" t="s">
        <v>19</v>
      </c>
      <c r="C16" s="9">
        <v>242.6</v>
      </c>
      <c r="D16" s="9">
        <v>351.8</v>
      </c>
      <c r="E16" s="9">
        <v>344.8</v>
      </c>
      <c r="F16" s="9">
        <v>278</v>
      </c>
      <c r="G16" s="9">
        <v>180.9</v>
      </c>
      <c r="H16" s="9">
        <v>195.5</v>
      </c>
    </row>
    <row r="17" spans="2:32" x14ac:dyDescent="0.2">
      <c r="B17" s="1" t="s">
        <v>20</v>
      </c>
      <c r="C17" s="11">
        <f>C15+C16</f>
        <v>6563.9000000000005</v>
      </c>
      <c r="D17" s="11">
        <f t="shared" ref="D17:N17" si="0">D15+D16</f>
        <v>5872.7</v>
      </c>
      <c r="E17" s="11">
        <f t="shared" si="0"/>
        <v>5691.4000000000005</v>
      </c>
      <c r="F17" s="11">
        <f t="shared" si="0"/>
        <v>3373.2</v>
      </c>
      <c r="G17" s="11">
        <f t="shared" si="0"/>
        <v>2013.3000000000002</v>
      </c>
      <c r="H17" s="11">
        <f t="shared" si="0"/>
        <v>2109</v>
      </c>
      <c r="I17" s="11">
        <f t="shared" si="0"/>
        <v>1866</v>
      </c>
      <c r="J17" s="11">
        <f t="shared" si="0"/>
        <v>2332.4</v>
      </c>
      <c r="K17" s="11">
        <f t="shared" si="0"/>
        <v>1989.9</v>
      </c>
      <c r="L17" s="11">
        <f t="shared" si="0"/>
        <v>5354</v>
      </c>
      <c r="M17" s="11">
        <f t="shared" si="0"/>
        <v>20444</v>
      </c>
      <c r="N17" s="11">
        <f t="shared" si="0"/>
        <v>22989</v>
      </c>
      <c r="O17" s="21">
        <v>21500</v>
      </c>
      <c r="P17" s="21">
        <v>20500</v>
      </c>
      <c r="Q17" s="21">
        <v>19500</v>
      </c>
      <c r="R17" s="21">
        <v>20000</v>
      </c>
      <c r="S17" s="1">
        <f>R17*S40+R17</f>
        <v>20200</v>
      </c>
      <c r="T17" s="1">
        <f t="shared" ref="T17:AF17" si="1">S17*T40+S17</f>
        <v>20402</v>
      </c>
      <c r="U17" s="1">
        <f t="shared" si="1"/>
        <v>20606.02</v>
      </c>
      <c r="V17" s="1">
        <f t="shared" si="1"/>
        <v>20812.0802</v>
      </c>
      <c r="W17" s="1">
        <f t="shared" si="1"/>
        <v>21020.201002000002</v>
      </c>
      <c r="X17" s="1">
        <f t="shared" si="1"/>
        <v>21230.40301202</v>
      </c>
      <c r="Y17" s="1">
        <f t="shared" si="1"/>
        <v>21442.707042140202</v>
      </c>
      <c r="Z17" s="1">
        <f t="shared" si="1"/>
        <v>21657.134112561605</v>
      </c>
      <c r="AA17" s="1">
        <f t="shared" si="1"/>
        <v>21873.70545368722</v>
      </c>
      <c r="AB17" s="1">
        <f t="shared" si="1"/>
        <v>22092.442508224092</v>
      </c>
      <c r="AC17" s="1">
        <f t="shared" si="1"/>
        <v>22313.366933306334</v>
      </c>
      <c r="AD17" s="1">
        <f t="shared" si="1"/>
        <v>22536.500602639397</v>
      </c>
      <c r="AE17" s="1">
        <f t="shared" si="1"/>
        <v>22761.86560866579</v>
      </c>
      <c r="AF17" s="1">
        <f t="shared" si="1"/>
        <v>22989.484264752449</v>
      </c>
    </row>
    <row r="18" spans="2:32" x14ac:dyDescent="0.2">
      <c r="B18" t="s">
        <v>21</v>
      </c>
      <c r="C18" s="9">
        <v>3953</v>
      </c>
      <c r="D18" s="9">
        <v>4700.6000000000004</v>
      </c>
      <c r="E18" s="9">
        <v>4542.1000000000004</v>
      </c>
      <c r="F18" s="9">
        <v>2487.5</v>
      </c>
      <c r="G18" s="9">
        <v>1776.8</v>
      </c>
      <c r="H18" s="9">
        <v>1719.7</v>
      </c>
      <c r="I18" s="9">
        <v>1398.4</v>
      </c>
      <c r="J18" s="9">
        <v>1522.8</v>
      </c>
      <c r="K18" s="9">
        <v>1414.2</v>
      </c>
      <c r="L18" s="13">
        <v>5102</v>
      </c>
      <c r="M18" s="13">
        <v>15910</v>
      </c>
      <c r="N18" s="13">
        <v>20471</v>
      </c>
      <c r="O18" s="23">
        <f>O17-O17*O41</f>
        <v>19135</v>
      </c>
      <c r="P18" s="23">
        <f t="shared" ref="P18:AF18" si="2">P17-P17*P41</f>
        <v>18245</v>
      </c>
      <c r="Q18" s="23">
        <f t="shared" si="2"/>
        <v>17355</v>
      </c>
      <c r="R18" s="23">
        <f t="shared" si="2"/>
        <v>17800</v>
      </c>
      <c r="S18" s="23">
        <f t="shared" si="2"/>
        <v>17978</v>
      </c>
      <c r="T18" s="23">
        <f t="shared" si="2"/>
        <v>18157.78</v>
      </c>
      <c r="U18" s="23">
        <f t="shared" si="2"/>
        <v>18339.357800000002</v>
      </c>
      <c r="V18" s="23">
        <f t="shared" si="2"/>
        <v>18522.751378000001</v>
      </c>
      <c r="W18" s="23">
        <f t="shared" si="2"/>
        <v>18707.978891780003</v>
      </c>
      <c r="X18" s="23">
        <f t="shared" si="2"/>
        <v>18895.058680697799</v>
      </c>
      <c r="Y18" s="23">
        <f t="shared" si="2"/>
        <v>19084.009267504778</v>
      </c>
      <c r="Z18" s="23">
        <f t="shared" si="2"/>
        <v>19274.849360179829</v>
      </c>
      <c r="AA18" s="23">
        <f t="shared" si="2"/>
        <v>19467.597853781626</v>
      </c>
      <c r="AB18" s="23">
        <f t="shared" si="2"/>
        <v>19662.273832319443</v>
      </c>
      <c r="AC18" s="23">
        <f t="shared" si="2"/>
        <v>19858.896570642639</v>
      </c>
      <c r="AD18" s="23">
        <f t="shared" si="2"/>
        <v>20057.485536349064</v>
      </c>
      <c r="AE18" s="23">
        <f t="shared" si="2"/>
        <v>20258.060391712552</v>
      </c>
      <c r="AF18" s="23">
        <f t="shared" si="2"/>
        <v>20460.640995629681</v>
      </c>
    </row>
    <row r="19" spans="2:32" x14ac:dyDescent="0.2">
      <c r="B19" s="1" t="s">
        <v>34</v>
      </c>
      <c r="C19" s="11">
        <f>C17-C18</f>
        <v>2610.9000000000005</v>
      </c>
      <c r="D19" s="11">
        <f t="shared" ref="D19:N19" si="3">D17-D18</f>
        <v>1172.0999999999995</v>
      </c>
      <c r="E19" s="11">
        <f t="shared" si="3"/>
        <v>1149.3000000000002</v>
      </c>
      <c r="F19" s="11">
        <f t="shared" si="3"/>
        <v>885.69999999999982</v>
      </c>
      <c r="G19" s="11">
        <f t="shared" si="3"/>
        <v>236.50000000000023</v>
      </c>
      <c r="H19" s="11">
        <f t="shared" si="3"/>
        <v>389.29999999999995</v>
      </c>
      <c r="I19" s="11">
        <f t="shared" si="3"/>
        <v>467.59999999999991</v>
      </c>
      <c r="J19" s="11">
        <f t="shared" si="3"/>
        <v>809.60000000000014</v>
      </c>
      <c r="K19" s="11">
        <f t="shared" si="3"/>
        <v>575.70000000000005</v>
      </c>
      <c r="L19" s="11">
        <f t="shared" si="3"/>
        <v>252</v>
      </c>
      <c r="M19" s="11">
        <f t="shared" si="3"/>
        <v>4534</v>
      </c>
      <c r="N19" s="11">
        <f t="shared" si="3"/>
        <v>2518</v>
      </c>
      <c r="O19" s="11">
        <f t="shared" ref="O19" si="4">O17-O18</f>
        <v>2365</v>
      </c>
      <c r="P19" s="11">
        <f t="shared" ref="P19" si="5">P17-P18</f>
        <v>2255</v>
      </c>
      <c r="Q19" s="11">
        <f t="shared" ref="Q19" si="6">Q17-Q18</f>
        <v>2145</v>
      </c>
      <c r="R19" s="11">
        <f t="shared" ref="R19" si="7">R17-R18</f>
        <v>2200</v>
      </c>
      <c r="S19" s="11">
        <f t="shared" ref="S19" si="8">S17-S18</f>
        <v>2222</v>
      </c>
      <c r="T19" s="11">
        <f t="shared" ref="T19" si="9">T17-T18</f>
        <v>2244.2200000000012</v>
      </c>
      <c r="U19" s="11">
        <f t="shared" ref="U19" si="10">U17-U18</f>
        <v>2266.6621999999988</v>
      </c>
      <c r="V19" s="11">
        <f t="shared" ref="V19" si="11">V17-V18</f>
        <v>2289.3288219999995</v>
      </c>
      <c r="W19" s="11">
        <f t="shared" ref="W19" si="12">W17-W18</f>
        <v>2312.2221102199983</v>
      </c>
      <c r="X19" s="11">
        <f t="shared" ref="X19" si="13">X17-X18</f>
        <v>2335.3443313222015</v>
      </c>
      <c r="Y19" s="11">
        <f t="shared" ref="Y19" si="14">Y17-Y18</f>
        <v>2358.6977746354241</v>
      </c>
      <c r="Z19" s="11">
        <f t="shared" ref="Z19" si="15">Z17-Z18</f>
        <v>2382.2847523817763</v>
      </c>
      <c r="AA19" s="11">
        <f t="shared" ref="AA19" si="16">AA17-AA18</f>
        <v>2406.1075999055938</v>
      </c>
      <c r="AB19" s="11">
        <f t="shared" ref="AB19" si="17">AB17-AB18</f>
        <v>2430.1686759046497</v>
      </c>
      <c r="AC19" s="11">
        <f t="shared" ref="AC19" si="18">AC17-AC18</f>
        <v>2454.4703626636947</v>
      </c>
      <c r="AD19" s="11">
        <f t="shared" ref="AD19" si="19">AD17-AD18</f>
        <v>2479.0150662903325</v>
      </c>
      <c r="AE19" s="11">
        <f t="shared" ref="AE19" si="20">AE17-AE18</f>
        <v>2503.8052169532384</v>
      </c>
      <c r="AF19" s="11">
        <f t="shared" ref="AF19" si="21">AF17-AF18</f>
        <v>2528.8432691227681</v>
      </c>
    </row>
    <row r="20" spans="2:32" x14ac:dyDescent="0.2">
      <c r="B20" t="s">
        <v>22</v>
      </c>
      <c r="C20" s="9">
        <v>248.3</v>
      </c>
      <c r="D20" s="9">
        <v>282.5</v>
      </c>
      <c r="E20" s="9">
        <v>231.6</v>
      </c>
      <c r="F20" s="9">
        <v>154.69999999999999</v>
      </c>
      <c r="G20" s="9">
        <v>110</v>
      </c>
      <c r="H20" s="9">
        <v>117.8</v>
      </c>
      <c r="I20">
        <v>110</v>
      </c>
      <c r="J20">
        <v>154.69999999999999</v>
      </c>
      <c r="K20">
        <v>119.4</v>
      </c>
      <c r="L20">
        <v>244</v>
      </c>
      <c r="M20">
        <v>422</v>
      </c>
      <c r="N20">
        <v>465</v>
      </c>
      <c r="O20">
        <v>465</v>
      </c>
      <c r="P20">
        <v>465</v>
      </c>
      <c r="Q20">
        <v>465</v>
      </c>
      <c r="R20">
        <v>465</v>
      </c>
      <c r="S20">
        <v>465</v>
      </c>
      <c r="T20">
        <v>465</v>
      </c>
      <c r="U20">
        <v>465</v>
      </c>
      <c r="V20">
        <v>465</v>
      </c>
      <c r="W20">
        <v>465</v>
      </c>
      <c r="X20">
        <v>465</v>
      </c>
      <c r="Y20">
        <v>465</v>
      </c>
      <c r="Z20">
        <v>465</v>
      </c>
      <c r="AA20">
        <v>465</v>
      </c>
      <c r="AB20">
        <v>465</v>
      </c>
      <c r="AC20">
        <v>465</v>
      </c>
      <c r="AD20">
        <v>465</v>
      </c>
      <c r="AE20">
        <v>465</v>
      </c>
      <c r="AF20">
        <v>465</v>
      </c>
    </row>
    <row r="21" spans="2:32" x14ac:dyDescent="0.2">
      <c r="B21" t="s">
        <v>23</v>
      </c>
      <c r="C21" s="12">
        <v>80.5</v>
      </c>
      <c r="D21" s="12">
        <v>142.80000000000001</v>
      </c>
      <c r="E21" s="12">
        <v>59</v>
      </c>
    </row>
    <row r="22" spans="2:32" x14ac:dyDescent="0.2">
      <c r="B22" t="s">
        <v>24</v>
      </c>
      <c r="C22" s="9">
        <v>27.8</v>
      </c>
      <c r="D22" s="9">
        <v>1049.9000000000001</v>
      </c>
      <c r="E22" s="9">
        <v>250.8</v>
      </c>
      <c r="F22" s="9">
        <v>635.5</v>
      </c>
      <c r="G22" s="9">
        <v>3.3</v>
      </c>
      <c r="H22" s="9"/>
    </row>
    <row r="23" spans="2:32" x14ac:dyDescent="0.2">
      <c r="B23" t="s">
        <v>25</v>
      </c>
      <c r="C23" s="12">
        <v>25.4</v>
      </c>
      <c r="L23">
        <v>90</v>
      </c>
      <c r="M23">
        <v>20</v>
      </c>
      <c r="N23">
        <v>4</v>
      </c>
    </row>
    <row r="24" spans="2:32" x14ac:dyDescent="0.2">
      <c r="B24" t="s">
        <v>42</v>
      </c>
      <c r="C24" s="9">
        <v>67.900000000000006</v>
      </c>
      <c r="D24">
        <v>-5.7</v>
      </c>
      <c r="E24">
        <v>63.1</v>
      </c>
      <c r="F24">
        <v>34.6</v>
      </c>
      <c r="G24">
        <v>28.1</v>
      </c>
      <c r="H24">
        <v>-30.7</v>
      </c>
      <c r="I24">
        <v>25.5</v>
      </c>
      <c r="J24">
        <v>-22.9</v>
      </c>
      <c r="K24">
        <v>-27</v>
      </c>
      <c r="L24">
        <v>-60</v>
      </c>
      <c r="M24">
        <v>-80</v>
      </c>
      <c r="N24">
        <v>-110</v>
      </c>
      <c r="O24">
        <v>110</v>
      </c>
      <c r="P24">
        <v>110</v>
      </c>
      <c r="Q24">
        <v>110</v>
      </c>
      <c r="R24">
        <v>110</v>
      </c>
      <c r="S24">
        <v>110</v>
      </c>
      <c r="T24">
        <v>110</v>
      </c>
      <c r="U24">
        <v>110</v>
      </c>
      <c r="V24">
        <v>110</v>
      </c>
      <c r="W24">
        <v>110</v>
      </c>
      <c r="X24">
        <v>110</v>
      </c>
      <c r="Y24">
        <v>110</v>
      </c>
      <c r="Z24">
        <v>110</v>
      </c>
      <c r="AA24">
        <v>110</v>
      </c>
      <c r="AB24">
        <v>110</v>
      </c>
      <c r="AC24">
        <v>110</v>
      </c>
      <c r="AD24">
        <v>110</v>
      </c>
      <c r="AE24">
        <v>110</v>
      </c>
      <c r="AF24">
        <v>110</v>
      </c>
    </row>
    <row r="25" spans="2:32" x14ac:dyDescent="0.2">
      <c r="B25" s="2" t="s">
        <v>26</v>
      </c>
      <c r="C25" s="9">
        <f>C20+C21+C22+C23-C24</f>
        <v>314.10000000000002</v>
      </c>
      <c r="D25" s="9">
        <f t="shared" ref="D25:N25" si="22">D20+D21+D22+D23-D24</f>
        <v>1480.9</v>
      </c>
      <c r="E25" s="9">
        <f t="shared" si="22"/>
        <v>478.30000000000007</v>
      </c>
      <c r="F25" s="9">
        <f>F20+F21+F22+F23-F24</f>
        <v>755.6</v>
      </c>
      <c r="G25" s="9">
        <f t="shared" si="22"/>
        <v>85.199999999999989</v>
      </c>
      <c r="H25" s="9">
        <f t="shared" si="22"/>
        <v>148.5</v>
      </c>
      <c r="I25" s="9">
        <f t="shared" si="22"/>
        <v>84.5</v>
      </c>
      <c r="J25" s="9">
        <f t="shared" si="22"/>
        <v>177.6</v>
      </c>
      <c r="K25" s="9">
        <f t="shared" si="22"/>
        <v>146.4</v>
      </c>
      <c r="L25" s="9">
        <f t="shared" si="22"/>
        <v>394</v>
      </c>
      <c r="M25" s="9">
        <f t="shared" si="22"/>
        <v>522</v>
      </c>
      <c r="N25" s="9">
        <f t="shared" si="22"/>
        <v>579</v>
      </c>
      <c r="O25" s="9">
        <f>O20+O24</f>
        <v>575</v>
      </c>
      <c r="P25" s="9">
        <f t="shared" ref="P25:AF25" si="23">P20+P24</f>
        <v>575</v>
      </c>
      <c r="Q25" s="9">
        <f t="shared" si="23"/>
        <v>575</v>
      </c>
      <c r="R25" s="9">
        <f t="shared" si="23"/>
        <v>575</v>
      </c>
      <c r="S25" s="9">
        <f t="shared" si="23"/>
        <v>575</v>
      </c>
      <c r="T25" s="9">
        <f t="shared" si="23"/>
        <v>575</v>
      </c>
      <c r="U25" s="9">
        <f t="shared" si="23"/>
        <v>575</v>
      </c>
      <c r="V25" s="9">
        <f t="shared" si="23"/>
        <v>575</v>
      </c>
      <c r="W25" s="9">
        <f t="shared" si="23"/>
        <v>575</v>
      </c>
      <c r="X25" s="9">
        <f t="shared" si="23"/>
        <v>575</v>
      </c>
      <c r="Y25" s="9">
        <f t="shared" si="23"/>
        <v>575</v>
      </c>
      <c r="Z25" s="9">
        <f t="shared" si="23"/>
        <v>575</v>
      </c>
      <c r="AA25" s="9">
        <f t="shared" si="23"/>
        <v>575</v>
      </c>
      <c r="AB25" s="9">
        <f t="shared" si="23"/>
        <v>575</v>
      </c>
      <c r="AC25" s="9">
        <f t="shared" si="23"/>
        <v>575</v>
      </c>
      <c r="AD25" s="9">
        <f t="shared" si="23"/>
        <v>575</v>
      </c>
      <c r="AE25" s="9">
        <f t="shared" si="23"/>
        <v>575</v>
      </c>
      <c r="AF25" s="9">
        <f t="shared" si="23"/>
        <v>575</v>
      </c>
    </row>
    <row r="26" spans="2:32" x14ac:dyDescent="0.2">
      <c r="B26" s="1" t="s">
        <v>27</v>
      </c>
      <c r="C26" s="11">
        <f>C19-C25</f>
        <v>2296.8000000000006</v>
      </c>
      <c r="D26" s="11">
        <f t="shared" ref="D26:N26" si="24">D19-D25</f>
        <v>-308.80000000000064</v>
      </c>
      <c r="E26" s="11">
        <f t="shared" si="24"/>
        <v>671.00000000000011</v>
      </c>
      <c r="F26" s="11">
        <f>F19-F25</f>
        <v>130.0999999999998</v>
      </c>
      <c r="G26" s="11">
        <f t="shared" si="24"/>
        <v>151.30000000000024</v>
      </c>
      <c r="H26" s="11">
        <f t="shared" si="24"/>
        <v>240.79999999999995</v>
      </c>
      <c r="I26" s="11">
        <f t="shared" si="24"/>
        <v>383.09999999999991</v>
      </c>
      <c r="J26" s="11">
        <f t="shared" si="24"/>
        <v>632.00000000000011</v>
      </c>
      <c r="K26" s="11">
        <f t="shared" si="24"/>
        <v>429.30000000000007</v>
      </c>
      <c r="L26" s="11">
        <f t="shared" si="24"/>
        <v>-142</v>
      </c>
      <c r="M26" s="11">
        <f t="shared" si="24"/>
        <v>4012</v>
      </c>
      <c r="N26" s="11">
        <f t="shared" si="24"/>
        <v>1939</v>
      </c>
      <c r="O26" s="11">
        <f>O19-O25</f>
        <v>1790</v>
      </c>
      <c r="P26" s="11">
        <f t="shared" ref="P26:AF26" si="25">P19-P25</f>
        <v>1680</v>
      </c>
      <c r="Q26" s="11">
        <f t="shared" si="25"/>
        <v>1570</v>
      </c>
      <c r="R26" s="11">
        <f t="shared" si="25"/>
        <v>1625</v>
      </c>
      <c r="S26" s="11">
        <f t="shared" si="25"/>
        <v>1647</v>
      </c>
      <c r="T26" s="11">
        <f t="shared" si="25"/>
        <v>1669.2200000000012</v>
      </c>
      <c r="U26" s="11">
        <f t="shared" si="25"/>
        <v>1691.6621999999988</v>
      </c>
      <c r="V26" s="11">
        <f t="shared" si="25"/>
        <v>1714.3288219999995</v>
      </c>
      <c r="W26" s="11">
        <f t="shared" si="25"/>
        <v>1737.2221102199983</v>
      </c>
      <c r="X26" s="11">
        <f t="shared" si="25"/>
        <v>1760.3443313222015</v>
      </c>
      <c r="Y26" s="11">
        <f t="shared" si="25"/>
        <v>1783.6977746354241</v>
      </c>
      <c r="Z26" s="11">
        <f t="shared" si="25"/>
        <v>1807.2847523817763</v>
      </c>
      <c r="AA26" s="11">
        <f t="shared" si="25"/>
        <v>1831.1075999055938</v>
      </c>
      <c r="AB26" s="11">
        <f t="shared" si="25"/>
        <v>1855.1686759046497</v>
      </c>
      <c r="AC26" s="11">
        <f t="shared" si="25"/>
        <v>1879.4703626636947</v>
      </c>
      <c r="AD26" s="11">
        <f t="shared" si="25"/>
        <v>1904.0150662903325</v>
      </c>
      <c r="AE26" s="11">
        <f t="shared" si="25"/>
        <v>1928.8052169532384</v>
      </c>
      <c r="AF26" s="11">
        <f t="shared" si="25"/>
        <v>1953.8432691227681</v>
      </c>
    </row>
    <row r="27" spans="2:32" x14ac:dyDescent="0.2">
      <c r="B27" t="s">
        <v>43</v>
      </c>
      <c r="C27" s="9">
        <v>101.9</v>
      </c>
      <c r="D27">
        <v>-0.1</v>
      </c>
      <c r="E27">
        <v>-3.5</v>
      </c>
    </row>
    <row r="28" spans="2:32" x14ac:dyDescent="0.2">
      <c r="B28" t="s">
        <v>44</v>
      </c>
      <c r="C28" s="9">
        <v>-206.2</v>
      </c>
      <c r="D28">
        <v>-195.6</v>
      </c>
      <c r="E28">
        <v>-179.1</v>
      </c>
      <c r="F28">
        <v>-176.7</v>
      </c>
      <c r="G28">
        <v>-228.5</v>
      </c>
      <c r="H28">
        <v>-200.5</v>
      </c>
      <c r="I28">
        <v>-126.8</v>
      </c>
      <c r="J28">
        <v>-118.9</v>
      </c>
      <c r="K28">
        <v>-101.2</v>
      </c>
      <c r="L28">
        <v>-238</v>
      </c>
      <c r="M28">
        <v>-337</v>
      </c>
      <c r="N28">
        <v>-276</v>
      </c>
      <c r="O28">
        <v>-276</v>
      </c>
      <c r="P28">
        <v>-276</v>
      </c>
      <c r="Q28">
        <v>-276</v>
      </c>
      <c r="R28">
        <v>-276</v>
      </c>
      <c r="S28">
        <v>-276</v>
      </c>
      <c r="T28">
        <v>-276</v>
      </c>
      <c r="U28">
        <v>-276</v>
      </c>
      <c r="V28">
        <v>-276</v>
      </c>
      <c r="W28">
        <v>-276</v>
      </c>
      <c r="X28">
        <v>-276</v>
      </c>
      <c r="Y28">
        <v>-276</v>
      </c>
      <c r="Z28">
        <v>-276</v>
      </c>
      <c r="AA28">
        <v>-276</v>
      </c>
      <c r="AB28">
        <v>-276</v>
      </c>
      <c r="AC28">
        <v>-276</v>
      </c>
      <c r="AD28">
        <v>-276</v>
      </c>
      <c r="AE28">
        <v>-276</v>
      </c>
      <c r="AF28">
        <v>-276</v>
      </c>
    </row>
    <row r="29" spans="2:32" x14ac:dyDescent="0.2">
      <c r="B29" t="s">
        <v>47</v>
      </c>
      <c r="C29" s="9"/>
      <c r="F29">
        <v>16.2</v>
      </c>
      <c r="G29">
        <v>392.9</v>
      </c>
      <c r="H29">
        <v>166.3</v>
      </c>
      <c r="I29">
        <v>-165.4</v>
      </c>
      <c r="J29">
        <v>-6.8</v>
      </c>
      <c r="K29">
        <v>-18.2</v>
      </c>
      <c r="L29">
        <v>130</v>
      </c>
      <c r="M29">
        <v>-88</v>
      </c>
      <c r="N29">
        <v>-75</v>
      </c>
      <c r="O29">
        <v>-75</v>
      </c>
      <c r="P29">
        <v>-75</v>
      </c>
      <c r="Q29">
        <v>-75</v>
      </c>
      <c r="R29">
        <v>-75</v>
      </c>
      <c r="S29">
        <v>-75</v>
      </c>
      <c r="T29">
        <v>-75</v>
      </c>
      <c r="U29">
        <v>-75</v>
      </c>
      <c r="V29">
        <v>-75</v>
      </c>
      <c r="W29">
        <v>-75</v>
      </c>
      <c r="X29">
        <v>-75</v>
      </c>
      <c r="Y29">
        <v>-75</v>
      </c>
      <c r="Z29">
        <v>-75</v>
      </c>
      <c r="AA29">
        <v>-75</v>
      </c>
      <c r="AB29">
        <v>-75</v>
      </c>
      <c r="AC29">
        <v>-75</v>
      </c>
      <c r="AD29">
        <v>-75</v>
      </c>
      <c r="AE29">
        <v>-75</v>
      </c>
      <c r="AF29">
        <v>-75</v>
      </c>
    </row>
    <row r="30" spans="2:32" x14ac:dyDescent="0.2">
      <c r="B30" t="s">
        <v>48</v>
      </c>
      <c r="C30" s="9"/>
      <c r="L30">
        <v>54</v>
      </c>
      <c r="M30">
        <v>210</v>
      </c>
      <c r="N30">
        <v>212</v>
      </c>
    </row>
    <row r="31" spans="2:32" x14ac:dyDescent="0.2">
      <c r="B31" t="s">
        <v>28</v>
      </c>
      <c r="C31" s="9">
        <v>-2</v>
      </c>
      <c r="D31">
        <v>2.7</v>
      </c>
      <c r="E31">
        <v>0.9</v>
      </c>
      <c r="F31">
        <v>10.7</v>
      </c>
      <c r="G31">
        <v>-2.6</v>
      </c>
      <c r="H31">
        <v>0.4</v>
      </c>
      <c r="I31">
        <v>10.199999999999999</v>
      </c>
      <c r="J31">
        <v>17.2</v>
      </c>
      <c r="K31">
        <v>2.2000000000000002</v>
      </c>
      <c r="L31">
        <v>3</v>
      </c>
      <c r="M31">
        <v>6</v>
      </c>
      <c r="N31">
        <v>-4</v>
      </c>
    </row>
    <row r="32" spans="2:32" x14ac:dyDescent="0.2">
      <c r="B32" t="s">
        <v>29</v>
      </c>
      <c r="C32" s="9">
        <f>C26+C27+C28+C31</f>
        <v>2190.5000000000009</v>
      </c>
      <c r="D32" s="9">
        <f t="shared" ref="D32:N32" si="26">D26+D27+D28+D31</f>
        <v>-501.80000000000069</v>
      </c>
      <c r="E32" s="9">
        <f t="shared" si="26"/>
        <v>489.30000000000007</v>
      </c>
      <c r="F32" s="9">
        <f t="shared" ref="F32:K32" si="27">F26+F27+F28+F29+F30+F31</f>
        <v>-19.700000000000195</v>
      </c>
      <c r="G32" s="9">
        <f t="shared" si="27"/>
        <v>313.10000000000019</v>
      </c>
      <c r="H32" s="9">
        <f t="shared" si="27"/>
        <v>206.99999999999997</v>
      </c>
      <c r="I32" s="9">
        <f t="shared" si="27"/>
        <v>101.09999999999989</v>
      </c>
      <c r="J32" s="9">
        <f t="shared" si="27"/>
        <v>523.50000000000011</v>
      </c>
      <c r="K32" s="9">
        <f t="shared" si="27"/>
        <v>312.10000000000008</v>
      </c>
      <c r="L32" s="9">
        <f>L26+L27+L28+L29+L30+L31</f>
        <v>-193</v>
      </c>
      <c r="M32" s="9">
        <f t="shared" ref="M32:N32" si="28">M26+M27+M28+M29+M30+M31</f>
        <v>3803</v>
      </c>
      <c r="N32" s="9">
        <f t="shared" si="28"/>
        <v>1796</v>
      </c>
      <c r="O32" s="9">
        <f>O26+O28+O29</f>
        <v>1439</v>
      </c>
      <c r="P32" s="9">
        <f t="shared" ref="P32:AF32" si="29">P26+P28+P29</f>
        <v>1329</v>
      </c>
      <c r="Q32" s="9">
        <f t="shared" si="29"/>
        <v>1219</v>
      </c>
      <c r="R32" s="9">
        <f t="shared" si="29"/>
        <v>1274</v>
      </c>
      <c r="S32" s="9">
        <f t="shared" si="29"/>
        <v>1296</v>
      </c>
      <c r="T32" s="9">
        <f t="shared" si="29"/>
        <v>1318.2200000000012</v>
      </c>
      <c r="U32" s="9">
        <f t="shared" si="29"/>
        <v>1340.6621999999988</v>
      </c>
      <c r="V32" s="9">
        <f t="shared" si="29"/>
        <v>1363.3288219999995</v>
      </c>
      <c r="W32" s="9">
        <f t="shared" si="29"/>
        <v>1386.2221102199983</v>
      </c>
      <c r="X32" s="9">
        <f t="shared" si="29"/>
        <v>1409.3443313222015</v>
      </c>
      <c r="Y32" s="9">
        <f t="shared" si="29"/>
        <v>1432.6977746354241</v>
      </c>
      <c r="Z32" s="9">
        <f t="shared" si="29"/>
        <v>1456.2847523817763</v>
      </c>
      <c r="AA32" s="9">
        <f t="shared" si="29"/>
        <v>1480.1075999055938</v>
      </c>
      <c r="AB32" s="9">
        <f t="shared" si="29"/>
        <v>1504.1686759046497</v>
      </c>
      <c r="AC32" s="9">
        <f t="shared" si="29"/>
        <v>1528.4703626636947</v>
      </c>
      <c r="AD32" s="9">
        <f t="shared" si="29"/>
        <v>1553.0150662903325</v>
      </c>
      <c r="AE32" s="9">
        <f t="shared" si="29"/>
        <v>1577.8052169532384</v>
      </c>
      <c r="AF32" s="9">
        <f t="shared" si="29"/>
        <v>1602.8432691227681</v>
      </c>
    </row>
    <row r="33" spans="2:60" x14ac:dyDescent="0.2">
      <c r="B33" t="s">
        <v>30</v>
      </c>
      <c r="C33" s="9">
        <v>-407.7</v>
      </c>
      <c r="D33">
        <v>-255.9</v>
      </c>
      <c r="E33">
        <v>-55.1</v>
      </c>
      <c r="F33">
        <v>86</v>
      </c>
      <c r="G33">
        <v>-169.3</v>
      </c>
      <c r="H33">
        <v>12.2</v>
      </c>
      <c r="I33">
        <v>252.4</v>
      </c>
      <c r="J33">
        <v>475.2</v>
      </c>
      <c r="K33">
        <v>-17.600000000000001</v>
      </c>
      <c r="L33">
        <v>111</v>
      </c>
      <c r="M33">
        <v>-773</v>
      </c>
      <c r="N33">
        <v>-423</v>
      </c>
      <c r="O33">
        <f>-(O32*O42)</f>
        <v>-345.36</v>
      </c>
      <c r="P33">
        <f t="shared" ref="P33:AF33" si="30">-(P32*P42)</f>
        <v>-318.95999999999998</v>
      </c>
      <c r="Q33">
        <f t="shared" si="30"/>
        <v>-292.56</v>
      </c>
      <c r="R33">
        <f t="shared" si="30"/>
        <v>-305.76</v>
      </c>
      <c r="S33">
        <f t="shared" si="30"/>
        <v>-311.03999999999996</v>
      </c>
      <c r="T33">
        <f t="shared" si="30"/>
        <v>-316.37280000000027</v>
      </c>
      <c r="U33">
        <f t="shared" si="30"/>
        <v>-321.75892799999968</v>
      </c>
      <c r="V33">
        <f t="shared" si="30"/>
        <v>-327.19891727999988</v>
      </c>
      <c r="W33">
        <f t="shared" si="30"/>
        <v>-332.69330645279956</v>
      </c>
      <c r="X33">
        <f t="shared" si="30"/>
        <v>-338.24263951732831</v>
      </c>
      <c r="Y33">
        <f t="shared" si="30"/>
        <v>-343.84746591250178</v>
      </c>
      <c r="Z33">
        <f t="shared" si="30"/>
        <v>-349.50834057162632</v>
      </c>
      <c r="AA33">
        <f t="shared" si="30"/>
        <v>-355.22582397734249</v>
      </c>
      <c r="AB33">
        <f t="shared" si="30"/>
        <v>-361.00048221711592</v>
      </c>
      <c r="AC33">
        <f t="shared" si="30"/>
        <v>-366.83288703928673</v>
      </c>
      <c r="AD33">
        <f t="shared" si="30"/>
        <v>-372.72361590967978</v>
      </c>
      <c r="AE33">
        <f t="shared" si="30"/>
        <v>-378.67325206877723</v>
      </c>
      <c r="AF33">
        <f t="shared" si="30"/>
        <v>-384.68238458946433</v>
      </c>
    </row>
    <row r="34" spans="2:60" x14ac:dyDescent="0.2">
      <c r="B34" t="s">
        <v>31</v>
      </c>
      <c r="C34" s="9">
        <v>9.6999999999999993</v>
      </c>
      <c r="D34">
        <v>-404.8</v>
      </c>
      <c r="E34">
        <v>-74.400000000000006</v>
      </c>
      <c r="F34">
        <v>-9.9</v>
      </c>
      <c r="G34">
        <v>-0.1</v>
      </c>
    </row>
    <row r="35" spans="2:60" x14ac:dyDescent="0.2">
      <c r="B35" t="s">
        <v>32</v>
      </c>
      <c r="C35" s="9">
        <v>20.100000000000001</v>
      </c>
      <c r="D35">
        <v>35.9</v>
      </c>
      <c r="E35">
        <v>2</v>
      </c>
      <c r="F35" s="13">
        <v>-8368</v>
      </c>
      <c r="G35">
        <v>-892.1</v>
      </c>
      <c r="H35">
        <v>-19.899999999999999</v>
      </c>
      <c r="I35">
        <v>2.5</v>
      </c>
      <c r="J35">
        <v>88.2</v>
      </c>
      <c r="K35">
        <v>-1.7</v>
      </c>
      <c r="L35">
        <v>1</v>
      </c>
      <c r="M35">
        <v>3</v>
      </c>
      <c r="N35">
        <v>3</v>
      </c>
    </row>
    <row r="36" spans="2:60" x14ac:dyDescent="0.2">
      <c r="B36" s="4" t="s">
        <v>33</v>
      </c>
      <c r="C36" s="16">
        <f>C32+C33+C34+C35</f>
        <v>1812.6000000000008</v>
      </c>
      <c r="D36" s="16">
        <f t="shared" ref="D36:N36" si="31">D32+D33+D34+D35</f>
        <v>-1126.6000000000006</v>
      </c>
      <c r="E36" s="16">
        <f t="shared" si="31"/>
        <v>361.80000000000007</v>
      </c>
      <c r="F36" s="16">
        <f t="shared" si="31"/>
        <v>-8311.6</v>
      </c>
      <c r="G36" s="16">
        <f t="shared" si="31"/>
        <v>-748.39999999999986</v>
      </c>
      <c r="H36" s="16">
        <f t="shared" si="31"/>
        <v>199.29999999999995</v>
      </c>
      <c r="I36" s="16">
        <f>I32+I33+I34+I35</f>
        <v>355.99999999999989</v>
      </c>
      <c r="J36" s="16">
        <f t="shared" si="31"/>
        <v>1086.9000000000001</v>
      </c>
      <c r="K36" s="16">
        <f t="shared" si="31"/>
        <v>292.80000000000007</v>
      </c>
      <c r="L36" s="16">
        <f t="shared" si="31"/>
        <v>-82</v>
      </c>
      <c r="M36" s="16">
        <f t="shared" si="31"/>
        <v>3033</v>
      </c>
      <c r="N36" s="16">
        <f t="shared" si="31"/>
        <v>1376</v>
      </c>
      <c r="O36" s="27">
        <f>O32+O33</f>
        <v>1093.6399999999999</v>
      </c>
      <c r="P36" s="27">
        <f t="shared" ref="P36:AF36" si="32">P32+P33</f>
        <v>1010.04</v>
      </c>
      <c r="Q36" s="27">
        <f t="shared" si="32"/>
        <v>926.44</v>
      </c>
      <c r="R36" s="27">
        <f t="shared" si="32"/>
        <v>968.24</v>
      </c>
      <c r="S36" s="27">
        <f t="shared" si="32"/>
        <v>984.96</v>
      </c>
      <c r="T36" s="27">
        <f t="shared" si="32"/>
        <v>1001.8472000000008</v>
      </c>
      <c r="U36" s="27">
        <f t="shared" si="32"/>
        <v>1018.9032719999991</v>
      </c>
      <c r="V36" s="27">
        <f t="shared" si="32"/>
        <v>1036.1299047199996</v>
      </c>
      <c r="W36" s="27">
        <f t="shared" si="32"/>
        <v>1053.5288037671987</v>
      </c>
      <c r="X36" s="27">
        <f t="shared" si="32"/>
        <v>1071.1016918048731</v>
      </c>
      <c r="Y36" s="27">
        <f t="shared" si="32"/>
        <v>1088.8503087229224</v>
      </c>
      <c r="Z36" s="27">
        <f t="shared" si="32"/>
        <v>1106.77641181015</v>
      </c>
      <c r="AA36" s="27">
        <f t="shared" si="32"/>
        <v>1124.8817759282513</v>
      </c>
      <c r="AB36" s="27">
        <f t="shared" si="32"/>
        <v>1143.1681936875339</v>
      </c>
      <c r="AC36" s="27">
        <f t="shared" si="32"/>
        <v>1161.6374756244079</v>
      </c>
      <c r="AD36" s="27">
        <f t="shared" si="32"/>
        <v>1180.2914503806528</v>
      </c>
      <c r="AE36" s="27">
        <f t="shared" si="32"/>
        <v>1199.1319648844612</v>
      </c>
      <c r="AF36" s="27">
        <f t="shared" si="32"/>
        <v>1218.1608845333037</v>
      </c>
      <c r="AG36" s="30">
        <f>AF36*N45+AF36</f>
        <v>1205.9792756879706</v>
      </c>
      <c r="AH36" s="30">
        <f>AG36*N45+AG36</f>
        <v>1193.9194829310909</v>
      </c>
      <c r="AI36" s="30">
        <f>AH36*N45+AH36</f>
        <v>1181.9802881017799</v>
      </c>
      <c r="AJ36" s="30">
        <f>AI36*N45+AI36</f>
        <v>1170.1604852207622</v>
      </c>
      <c r="AK36" s="30">
        <f>AJ36*N45+AJ36</f>
        <v>1158.4588803685547</v>
      </c>
      <c r="AL36" s="30">
        <f>AK36*N45+AK36</f>
        <v>1146.8742915648691</v>
      </c>
      <c r="AM36" s="30">
        <f>AL36*N45+AL36</f>
        <v>1135.4055486492205</v>
      </c>
      <c r="AN36" s="30">
        <f>AM36*N45+AM36</f>
        <v>1124.0514931627283</v>
      </c>
      <c r="AO36" s="30">
        <f>AN36*N45+AN36</f>
        <v>1112.810978231101</v>
      </c>
      <c r="AP36" s="30">
        <f>AO36*N45+AO36</f>
        <v>1101.68286844879</v>
      </c>
      <c r="AQ36" s="30">
        <f>AP36*N45+AP36</f>
        <v>1090.6660397643022</v>
      </c>
      <c r="AR36" s="30">
        <f>AQ36*N45+AQ36</f>
        <v>1079.7593793666592</v>
      </c>
      <c r="AS36" s="30">
        <f>AR36*N45+AR36</f>
        <v>1068.9617855729925</v>
      </c>
      <c r="AT36" s="30">
        <f>AS36*N45+AS36</f>
        <v>1058.2721677172626</v>
      </c>
      <c r="AU36" s="30">
        <f>AT36*N45+AT36</f>
        <v>1047.6894460400899</v>
      </c>
      <c r="AV36" s="30">
        <f>AU36*N45+AU36</f>
        <v>1037.212551579689</v>
      </c>
      <c r="AW36" s="30">
        <f>AV36*N45+AV36</f>
        <v>1026.8404260638922</v>
      </c>
      <c r="AX36" s="30">
        <f>AW36*N45+AW36</f>
        <v>1016.5720218032533</v>
      </c>
      <c r="AY36" s="30">
        <f>AX36*N45+AX36</f>
        <v>1006.4063015852207</v>
      </c>
      <c r="AZ36" s="30">
        <f>AY36*N45+AY36</f>
        <v>996.34223856936853</v>
      </c>
      <c r="BA36" s="30">
        <f>AZ36*N45+AZ36</f>
        <v>986.37881618367487</v>
      </c>
      <c r="BB36" s="30">
        <f>BA36*N45+BA36</f>
        <v>976.51502802183813</v>
      </c>
      <c r="BC36" s="30">
        <f>BB36*N45+BB36</f>
        <v>966.7498777416198</v>
      </c>
      <c r="BD36" s="30">
        <f>BC36*N45+BC36</f>
        <v>957.0823789642036</v>
      </c>
      <c r="BE36" s="30">
        <f>BD36*N45+BD36</f>
        <v>947.51155517456152</v>
      </c>
      <c r="BF36" s="30">
        <f>BE36*N45+BE36</f>
        <v>938.03643962281592</v>
      </c>
      <c r="BG36" s="30">
        <f>BF36*N45+BF36</f>
        <v>928.65607522658775</v>
      </c>
      <c r="BH36" s="30">
        <f>BG36*N45+BG36</f>
        <v>919.36951447432182</v>
      </c>
    </row>
    <row r="37" spans="2:60" x14ac:dyDescent="0.2">
      <c r="B37" t="s">
        <v>45</v>
      </c>
    </row>
    <row r="38" spans="2:60" x14ac:dyDescent="0.2">
      <c r="B38" t="s">
        <v>46</v>
      </c>
    </row>
    <row r="40" spans="2:60" x14ac:dyDescent="0.2">
      <c r="B40" t="s">
        <v>65</v>
      </c>
      <c r="D40" s="22">
        <f>D17/C17-1</f>
        <v>-0.10530324959246795</v>
      </c>
      <c r="E40" s="22">
        <f t="shared" ref="E40:R40" si="33">E17/D17-1</f>
        <v>-3.0871660394707567E-2</v>
      </c>
      <c r="F40" s="22">
        <f t="shared" si="33"/>
        <v>-0.40731630178866374</v>
      </c>
      <c r="G40" s="22">
        <f t="shared" si="33"/>
        <v>-0.40314834578441827</v>
      </c>
      <c r="H40" s="22">
        <f t="shared" si="33"/>
        <v>4.7533899567873572E-2</v>
      </c>
      <c r="I40" s="22">
        <f t="shared" si="33"/>
        <v>-0.11522048364153625</v>
      </c>
      <c r="J40" s="22">
        <f t="shared" si="33"/>
        <v>0.24994640943194013</v>
      </c>
      <c r="K40" s="22">
        <f t="shared" si="33"/>
        <v>-0.14684445206654084</v>
      </c>
      <c r="L40" s="22">
        <f t="shared" si="33"/>
        <v>1.6905874667068694</v>
      </c>
      <c r="M40" s="22">
        <f t="shared" si="33"/>
        <v>2.8184534927157268</v>
      </c>
      <c r="N40" s="22">
        <f t="shared" si="33"/>
        <v>0.12448640187830162</v>
      </c>
      <c r="O40" s="22">
        <f t="shared" si="33"/>
        <v>-6.4770107442689961E-2</v>
      </c>
      <c r="P40" s="22">
        <f t="shared" si="33"/>
        <v>-4.6511627906976716E-2</v>
      </c>
      <c r="Q40" s="22">
        <f t="shared" si="33"/>
        <v>-4.8780487804878092E-2</v>
      </c>
      <c r="R40" s="22">
        <f t="shared" si="33"/>
        <v>2.564102564102555E-2</v>
      </c>
      <c r="S40" s="20">
        <v>0.01</v>
      </c>
      <c r="T40" s="20">
        <v>0.01</v>
      </c>
      <c r="U40" s="20">
        <v>0.01</v>
      </c>
      <c r="V40" s="20">
        <v>0.01</v>
      </c>
      <c r="W40" s="20">
        <v>0.01</v>
      </c>
      <c r="X40" s="20">
        <v>0.01</v>
      </c>
      <c r="Y40" s="20">
        <v>0.01</v>
      </c>
      <c r="Z40" s="20">
        <v>0.01</v>
      </c>
      <c r="AA40" s="20">
        <v>0.01</v>
      </c>
      <c r="AB40" s="20">
        <v>0.01</v>
      </c>
      <c r="AC40" s="20">
        <v>0.01</v>
      </c>
      <c r="AD40" s="20">
        <v>0.01</v>
      </c>
      <c r="AE40" s="20">
        <v>0.01</v>
      </c>
      <c r="AF40" s="20">
        <v>0.01</v>
      </c>
    </row>
    <row r="41" spans="2:60" x14ac:dyDescent="0.2">
      <c r="B41" t="s">
        <v>66</v>
      </c>
      <c r="C41" s="22">
        <f>C19/C17</f>
        <v>0.39776657170279867</v>
      </c>
      <c r="D41" s="22">
        <f t="shared" ref="D41:N41" si="34">D19/D17</f>
        <v>0.19958451819435685</v>
      </c>
      <c r="E41" s="22">
        <f t="shared" si="34"/>
        <v>0.20193625470007381</v>
      </c>
      <c r="F41" s="22">
        <f t="shared" si="34"/>
        <v>0.2625696667852484</v>
      </c>
      <c r="G41" s="22">
        <f t="shared" si="34"/>
        <v>0.11746883226543496</v>
      </c>
      <c r="H41" s="22">
        <f t="shared" si="34"/>
        <v>0.18458985301090561</v>
      </c>
      <c r="I41" s="22">
        <f t="shared" si="34"/>
        <v>0.25058949624866017</v>
      </c>
      <c r="J41" s="22">
        <f t="shared" si="34"/>
        <v>0.34711027268050082</v>
      </c>
      <c r="K41" s="22">
        <f t="shared" si="34"/>
        <v>0.28931102065430425</v>
      </c>
      <c r="L41" s="22">
        <f t="shared" si="34"/>
        <v>4.7067612999626446E-2</v>
      </c>
      <c r="M41" s="22">
        <f t="shared" si="34"/>
        <v>0.22177656036000781</v>
      </c>
      <c r="N41" s="22">
        <f t="shared" si="34"/>
        <v>0.10953064509113054</v>
      </c>
      <c r="O41" s="20">
        <v>0.11</v>
      </c>
      <c r="P41" s="20">
        <v>0.11</v>
      </c>
      <c r="Q41" s="20">
        <v>0.11</v>
      </c>
      <c r="R41" s="20">
        <v>0.11</v>
      </c>
      <c r="S41" s="20">
        <v>0.11</v>
      </c>
      <c r="T41" s="20">
        <v>0.11</v>
      </c>
      <c r="U41" s="20">
        <v>0.11</v>
      </c>
      <c r="V41" s="20">
        <v>0.11</v>
      </c>
      <c r="W41" s="20">
        <v>0.11</v>
      </c>
      <c r="X41" s="20">
        <v>0.11</v>
      </c>
      <c r="Y41" s="20">
        <v>0.11</v>
      </c>
      <c r="Z41" s="20">
        <v>0.11</v>
      </c>
      <c r="AA41" s="20">
        <v>0.11</v>
      </c>
      <c r="AB41" s="20">
        <v>0.11</v>
      </c>
      <c r="AC41" s="20">
        <v>0.11</v>
      </c>
      <c r="AD41" s="20">
        <v>0.11</v>
      </c>
      <c r="AE41" s="20">
        <v>0.11</v>
      </c>
      <c r="AF41" s="20">
        <v>0.11</v>
      </c>
    </row>
    <row r="42" spans="2:60" x14ac:dyDescent="0.2">
      <c r="B42" s="25" t="s">
        <v>74</v>
      </c>
      <c r="C42" s="26">
        <f t="shared" ref="C42:K42" si="35">-C33/C32</f>
        <v>0.18612188997945667</v>
      </c>
      <c r="D42" s="26">
        <f t="shared" si="35"/>
        <v>-0.50996412913511291</v>
      </c>
      <c r="E42" s="26">
        <f t="shared" si="35"/>
        <v>0.11260985080727569</v>
      </c>
      <c r="F42" s="26"/>
      <c r="G42" s="26">
        <f t="shared" si="35"/>
        <v>0.54072181411689524</v>
      </c>
      <c r="H42" s="26"/>
      <c r="I42" s="26"/>
      <c r="J42" s="26"/>
      <c r="K42" s="26">
        <f t="shared" ref="K42:N42" si="36">-K33/K32</f>
        <v>5.6392181992950964E-2</v>
      </c>
      <c r="L42" s="26"/>
      <c r="M42" s="26">
        <f t="shared" si="36"/>
        <v>0.20326058374967132</v>
      </c>
      <c r="N42" s="26">
        <f>-N33/N32</f>
        <v>0.23552338530066816</v>
      </c>
      <c r="O42" s="24">
        <v>0.24</v>
      </c>
      <c r="P42" s="24">
        <v>0.24</v>
      </c>
      <c r="Q42" s="24">
        <v>0.24</v>
      </c>
      <c r="R42" s="24">
        <v>0.24</v>
      </c>
      <c r="S42" s="24">
        <v>0.24</v>
      </c>
      <c r="T42" s="24">
        <v>0.24</v>
      </c>
      <c r="U42" s="24">
        <v>0.24</v>
      </c>
      <c r="V42" s="24">
        <v>0.24</v>
      </c>
      <c r="W42" s="24">
        <v>0.24</v>
      </c>
      <c r="X42" s="24">
        <v>0.24</v>
      </c>
      <c r="Y42" s="24">
        <v>0.24</v>
      </c>
      <c r="Z42" s="24">
        <v>0.24</v>
      </c>
      <c r="AA42" s="24">
        <v>0.24</v>
      </c>
      <c r="AB42" s="24">
        <v>0.24</v>
      </c>
      <c r="AC42" s="24">
        <v>0.24</v>
      </c>
      <c r="AD42" s="24">
        <v>0.24</v>
      </c>
      <c r="AE42" s="24">
        <v>0.24</v>
      </c>
      <c r="AF42" s="24">
        <v>0.24</v>
      </c>
    </row>
    <row r="44" spans="2:60" x14ac:dyDescent="0.2">
      <c r="B44" s="6" t="s">
        <v>67</v>
      </c>
      <c r="C44" s="31">
        <v>0.1</v>
      </c>
      <c r="E44" s="17" t="s">
        <v>69</v>
      </c>
      <c r="F44" s="18">
        <v>15.4</v>
      </c>
      <c r="G44" s="18"/>
    </row>
    <row r="45" spans="2:60" x14ac:dyDescent="0.2">
      <c r="B45" s="6" t="s">
        <v>68</v>
      </c>
      <c r="C45" s="32">
        <f>NPV(C44,O36:BH36)*1000000+(F47-F48)</f>
        <v>9910531124.7475719</v>
      </c>
      <c r="D45" s="32"/>
      <c r="E45" s="17" t="s">
        <v>70</v>
      </c>
      <c r="F45" s="19">
        <v>515100000</v>
      </c>
      <c r="G45" s="19"/>
      <c r="L45" s="28" t="s">
        <v>75</v>
      </c>
      <c r="M45" s="28"/>
      <c r="N45" s="29">
        <v>-0.01</v>
      </c>
    </row>
    <row r="46" spans="2:60" x14ac:dyDescent="0.2">
      <c r="B46" s="6" t="s">
        <v>46</v>
      </c>
      <c r="C46" s="33">
        <f>C45/F45</f>
        <v>19.240013831775524</v>
      </c>
      <c r="E46" s="17" t="s">
        <v>71</v>
      </c>
      <c r="F46" s="18">
        <f>F44*F45</f>
        <v>7932540000</v>
      </c>
      <c r="G46" s="18"/>
    </row>
    <row r="47" spans="2:60" x14ac:dyDescent="0.2">
      <c r="E47" s="17" t="s">
        <v>72</v>
      </c>
      <c r="F47" s="18">
        <v>1960000000</v>
      </c>
      <c r="G47" s="18"/>
    </row>
    <row r="48" spans="2:60" x14ac:dyDescent="0.2">
      <c r="E48" s="17" t="s">
        <v>73</v>
      </c>
      <c r="F48" s="18">
        <v>2500000000</v>
      </c>
      <c r="G48" s="18"/>
    </row>
  </sheetData>
  <mergeCells count="9">
    <mergeCell ref="F48:G48"/>
    <mergeCell ref="L45:M45"/>
    <mergeCell ref="C45:D45"/>
    <mergeCell ref="M4:M6"/>
    <mergeCell ref="N4:N6"/>
    <mergeCell ref="F44:G44"/>
    <mergeCell ref="F45:G45"/>
    <mergeCell ref="F46:G46"/>
    <mergeCell ref="F47:G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2023-04-28T20:00:21Z</dcterms:created>
  <dcterms:modified xsi:type="dcterms:W3CDTF">2023-04-29T00:15:43Z</dcterms:modified>
</cp:coreProperties>
</file>