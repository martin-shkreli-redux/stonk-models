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RKLB/"/>
    </mc:Choice>
  </mc:AlternateContent>
  <xr:revisionPtr revIDLastSave="0" documentId="13_ncr:1_{B9250B67-9206-D24A-B694-BA4B3B0923AB}" xr6:coauthVersionLast="45" xr6:coauthVersionMax="45" xr10:uidLastSave="{00000000-0000-0000-0000-000000000000}"/>
  <bookViews>
    <workbookView xWindow="1260" yWindow="500" windowWidth="25320" windowHeight="19560" xr2:uid="{B4F9BD32-2D17-F745-8F6C-80B7B538DF35}"/>
  </bookViews>
  <sheets>
    <sheet name="mod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40" i="2" l="1"/>
  <c r="E26" i="2" l="1"/>
  <c r="D26" i="2"/>
  <c r="E25" i="2"/>
  <c r="D25" i="2"/>
  <c r="F34" i="2" l="1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F33" i="2"/>
  <c r="W44" i="2"/>
  <c r="V44" i="2"/>
  <c r="U44" i="2"/>
  <c r="T44" i="2"/>
  <c r="S44" i="2"/>
  <c r="J30" i="2"/>
  <c r="J32" i="2" s="1"/>
  <c r="R44" i="2"/>
  <c r="Q44" i="2"/>
  <c r="P44" i="2"/>
  <c r="O44" i="2"/>
  <c r="N44" i="2"/>
  <c r="M44" i="2"/>
  <c r="L44" i="2"/>
  <c r="K44" i="2"/>
  <c r="J44" i="2"/>
  <c r="I32" i="2"/>
  <c r="I31" i="2" s="1"/>
  <c r="H32" i="2"/>
  <c r="H31" i="2" s="1"/>
  <c r="G32" i="2"/>
  <c r="G31" i="2" s="1"/>
  <c r="F32" i="2"/>
  <c r="F31" i="2" s="1"/>
  <c r="I44" i="2"/>
  <c r="H44" i="2"/>
  <c r="G44" i="2"/>
  <c r="F44" i="2"/>
  <c r="F51" i="2"/>
  <c r="E7" i="2"/>
  <c r="G7" i="2"/>
  <c r="I7" i="2"/>
  <c r="J7" i="2"/>
  <c r="E10" i="2"/>
  <c r="F10" i="2"/>
  <c r="F11" i="2" s="1"/>
  <c r="F13" i="2" s="1"/>
  <c r="F15" i="2" s="1"/>
  <c r="G10" i="2"/>
  <c r="I10" i="2"/>
  <c r="J10" i="2"/>
  <c r="E11" i="2"/>
  <c r="E13" i="2" s="1"/>
  <c r="E15" i="2" s="1"/>
  <c r="G11" i="2"/>
  <c r="G13" i="2" s="1"/>
  <c r="G15" i="2" s="1"/>
  <c r="K11" i="2"/>
  <c r="K13" i="2" s="1"/>
  <c r="K15" i="2" s="1"/>
  <c r="I11" i="2" l="1"/>
  <c r="I13" i="2" s="1"/>
  <c r="I15" i="2" s="1"/>
  <c r="J31" i="2"/>
  <c r="K30" i="2"/>
  <c r="J11" i="2"/>
  <c r="J13" i="2" s="1"/>
  <c r="J15" i="2" s="1"/>
  <c r="F35" i="2"/>
  <c r="F36" i="2" s="1"/>
  <c r="F40" i="2" s="1"/>
  <c r="F41" i="2" s="1"/>
  <c r="G33" i="2"/>
  <c r="L30" i="2" l="1"/>
  <c r="K32" i="2"/>
  <c r="K31" i="2" s="1"/>
  <c r="H33" i="2"/>
  <c r="G35" i="2"/>
  <c r="G36" i="2" s="1"/>
  <c r="G40" i="2" s="1"/>
  <c r="M30" i="2" l="1"/>
  <c r="L32" i="2"/>
  <c r="L31" i="2" s="1"/>
  <c r="G41" i="2"/>
  <c r="H35" i="2"/>
  <c r="H36" i="2" s="1"/>
  <c r="H40" i="2" s="1"/>
  <c r="H41" i="2" s="1"/>
  <c r="I33" i="2"/>
  <c r="M32" i="2" l="1"/>
  <c r="M31" i="2" s="1"/>
  <c r="N30" i="2"/>
  <c r="I35" i="2"/>
  <c r="I36" i="2" s="1"/>
  <c r="J33" i="2"/>
  <c r="N32" i="2" l="1"/>
  <c r="N31" i="2" s="1"/>
  <c r="O30" i="2"/>
  <c r="J35" i="2"/>
  <c r="J36" i="2" s="1"/>
  <c r="K33" i="2"/>
  <c r="I39" i="2"/>
  <c r="I40" i="2" s="1"/>
  <c r="P30" i="2" l="1"/>
  <c r="O32" i="2"/>
  <c r="O31" i="2" s="1"/>
  <c r="I41" i="2"/>
  <c r="K35" i="2"/>
  <c r="K36" i="2" s="1"/>
  <c r="L33" i="2"/>
  <c r="J39" i="2"/>
  <c r="J40" i="2" s="1"/>
  <c r="Q30" i="2" l="1"/>
  <c r="P32" i="2"/>
  <c r="P31" i="2" s="1"/>
  <c r="J41" i="2"/>
  <c r="L35" i="2"/>
  <c r="L36" i="2" s="1"/>
  <c r="M33" i="2"/>
  <c r="K39" i="2"/>
  <c r="K40" i="2" s="1"/>
  <c r="Q32" i="2" l="1"/>
  <c r="Q31" i="2" s="1"/>
  <c r="R30" i="2"/>
  <c r="K41" i="2"/>
  <c r="M35" i="2"/>
  <c r="M36" i="2" s="1"/>
  <c r="N33" i="2"/>
  <c r="L39" i="2"/>
  <c r="L40" i="2" s="1"/>
  <c r="L41" i="2" s="1"/>
  <c r="R32" i="2" l="1"/>
  <c r="R31" i="2" s="1"/>
  <c r="S30" i="2"/>
  <c r="O33" i="2"/>
  <c r="N35" i="2"/>
  <c r="N36" i="2" s="1"/>
  <c r="M39" i="2"/>
  <c r="M40" i="2" s="1"/>
  <c r="M41" i="2" s="1"/>
  <c r="S32" i="2" l="1"/>
  <c r="S31" i="2" s="1"/>
  <c r="T30" i="2"/>
  <c r="O35" i="2"/>
  <c r="O36" i="2" s="1"/>
  <c r="P33" i="2"/>
  <c r="N39" i="2"/>
  <c r="N40" i="2" s="1"/>
  <c r="N41" i="2" s="1"/>
  <c r="T32" i="2" l="1"/>
  <c r="T31" i="2" s="1"/>
  <c r="U30" i="2"/>
  <c r="O39" i="2"/>
  <c r="O40" i="2" s="1"/>
  <c r="O41" i="2" s="1"/>
  <c r="P35" i="2"/>
  <c r="P36" i="2" s="1"/>
  <c r="Q33" i="2"/>
  <c r="V30" i="2" l="1"/>
  <c r="U32" i="2"/>
  <c r="U31" i="2" s="1"/>
  <c r="R33" i="2"/>
  <c r="Q35" i="2"/>
  <c r="Q36" i="2" s="1"/>
  <c r="P39" i="2"/>
  <c r="P40" i="2" s="1"/>
  <c r="P41" i="2" s="1"/>
  <c r="V32" i="2" l="1"/>
  <c r="V31" i="2" s="1"/>
  <c r="W30" i="2"/>
  <c r="W32" i="2" s="1"/>
  <c r="W31" i="2" s="1"/>
  <c r="Q39" i="2"/>
  <c r="Q40" i="2" s="1"/>
  <c r="Q41" i="2" s="1"/>
  <c r="R35" i="2"/>
  <c r="R36" i="2" s="1"/>
  <c r="S33" i="2"/>
  <c r="S35" i="2" l="1"/>
  <c r="S36" i="2" s="1"/>
  <c r="T33" i="2"/>
  <c r="R39" i="2"/>
  <c r="R40" i="2" s="1"/>
  <c r="R41" i="2" s="1"/>
  <c r="T35" i="2" l="1"/>
  <c r="T36" i="2" s="1"/>
  <c r="U33" i="2"/>
  <c r="S39" i="2"/>
  <c r="S40" i="2" s="1"/>
  <c r="S41" i="2" l="1"/>
  <c r="T39" i="2"/>
  <c r="T40" i="2" s="1"/>
  <c r="T41" i="2" s="1"/>
  <c r="V33" i="2"/>
  <c r="U35" i="2"/>
  <c r="U36" i="2" s="1"/>
  <c r="U39" i="2" l="1"/>
  <c r="U40" i="2" s="1"/>
  <c r="V35" i="2"/>
  <c r="V36" i="2" s="1"/>
  <c r="W33" i="2"/>
  <c r="W35" i="2" s="1"/>
  <c r="W36" i="2" s="1"/>
  <c r="U41" i="2" l="1"/>
  <c r="W39" i="2"/>
  <c r="W40" i="2" s="1"/>
  <c r="V39" i="2"/>
  <c r="V40" i="2" s="1"/>
  <c r="V41" i="2" s="1"/>
  <c r="W41" i="2" l="1"/>
  <c r="X40" i="2"/>
  <c r="Y40" i="2" s="1"/>
  <c r="Z40" i="2" s="1"/>
  <c r="AA40" i="2" s="1"/>
  <c r="AB40" i="2" s="1"/>
  <c r="AC40" i="2" s="1"/>
  <c r="AD40" i="2" s="1"/>
  <c r="AE40" i="2" s="1"/>
  <c r="AF40" i="2" s="1"/>
  <c r="AG40" i="2" s="1"/>
  <c r="AH40" i="2" s="1"/>
  <c r="AI40" i="2" s="1"/>
  <c r="C50" i="2" l="1"/>
  <c r="C51" i="2" s="1"/>
  <c r="E44" i="2"/>
  <c r="D44" i="2"/>
  <c r="C35" i="2" l="1"/>
  <c r="C32" i="2"/>
  <c r="C45" i="2" s="1"/>
  <c r="D35" i="2"/>
  <c r="D32" i="2"/>
  <c r="D45" i="2" s="1"/>
  <c r="E35" i="2"/>
  <c r="E32" i="2"/>
  <c r="E45" i="2" s="1"/>
  <c r="C36" i="2" l="1"/>
  <c r="C38" i="2" s="1"/>
  <c r="C40" i="2" s="1"/>
  <c r="D36" i="2"/>
  <c r="D38" i="2" s="1"/>
  <c r="D40" i="2" s="1"/>
  <c r="E36" i="2"/>
  <c r="E38" i="2" s="1"/>
  <c r="E40" i="2" s="1"/>
  <c r="E41" i="2" s="1"/>
</calcChain>
</file>

<file path=xl/sharedStrings.xml><?xml version="1.0" encoding="utf-8"?>
<sst xmlns="http://schemas.openxmlformats.org/spreadsheetml/2006/main" count="80" uniqueCount="63">
  <si>
    <t>Q3/20</t>
  </si>
  <si>
    <t>Q4/20</t>
  </si>
  <si>
    <t>Q1/21</t>
  </si>
  <si>
    <t>Q2/22</t>
  </si>
  <si>
    <t>Q3/22</t>
  </si>
  <si>
    <t>Q4/22</t>
  </si>
  <si>
    <t>Q2/21</t>
  </si>
  <si>
    <t>Q3/21</t>
  </si>
  <si>
    <t>Q4/21</t>
  </si>
  <si>
    <t>Q1/22</t>
  </si>
  <si>
    <t>Q1/23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</si>
  <si>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</si>
  <si>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</si>
  <si>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</si>
  <si>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</si>
  <si>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</si>
  <si>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</si>
  <si>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</si>
  <si>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</si>
  <si>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</si>
  <si>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</si>
  <si>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</si>
  <si>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F2032</t>
  </si>
  <si>
    <t>F2031</t>
  </si>
  <si>
    <t>F2033</t>
  </si>
  <si>
    <t>F2034</t>
  </si>
  <si>
    <t>F2035</t>
  </si>
  <si>
    <t>Revenue</t>
  </si>
  <si>
    <t>COGS</t>
  </si>
  <si>
    <t>Gross Profit</t>
  </si>
  <si>
    <t>R&amp;D</t>
  </si>
  <si>
    <t>SG&amp;A</t>
  </si>
  <si>
    <t>OpEx</t>
  </si>
  <si>
    <t>Op Income</t>
  </si>
  <si>
    <t>Pre Tax</t>
  </si>
  <si>
    <t>Taxes</t>
  </si>
  <si>
    <t>Net Income</t>
  </si>
  <si>
    <t>EPS</t>
  </si>
  <si>
    <t>Shares</t>
  </si>
  <si>
    <t>other income &amp; interest</t>
  </si>
  <si>
    <t>Rev y/y</t>
  </si>
  <si>
    <t>Gross Margin y/y</t>
  </si>
  <si>
    <t xml:space="preserve">Tax Rate </t>
  </si>
  <si>
    <t>Discount</t>
  </si>
  <si>
    <t>NPV</t>
  </si>
  <si>
    <t>Share</t>
  </si>
  <si>
    <t xml:space="preserve">Price </t>
  </si>
  <si>
    <t>MC</t>
  </si>
  <si>
    <t>Cash</t>
  </si>
  <si>
    <t>Debt</t>
  </si>
  <si>
    <t>EV</t>
  </si>
  <si>
    <t>REV</t>
  </si>
  <si>
    <t>F2036</t>
  </si>
  <si>
    <t>F2037</t>
  </si>
  <si>
    <t>F2038</t>
  </si>
  <si>
    <t>F2039</t>
  </si>
  <si>
    <t>F2040</t>
  </si>
  <si>
    <t xml:space="preserve">Terminal Net Inc </t>
  </si>
  <si>
    <t xml:space="preserve">Backlog </t>
  </si>
  <si>
    <t>Launch Rev</t>
  </si>
  <si>
    <t>Space Systems Rev</t>
  </si>
  <si>
    <t>Space Aplications Rev</t>
  </si>
  <si>
    <t>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</si>
</sst>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el"/>
    </font>
    <font>
      <sz val="12"/>
      <color theme="1"/>
      <name val="Arial"/>
      <family val="2"/>
    </font>
    <font>
      <b/>
      <sz val="12"/>
      <color theme="1"/>
      <name val="Ariel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44" fontId="0" fillId="0" borderId="0" xfId="2" applyFont="1"/>
    <xf numFmtId="0" fontId="0" fillId="2" borderId="0" xfId="0" applyFill="1"/>
    <xf numFmtId="44" fontId="0" fillId="2" borderId="0" xfId="2" applyFont="1" applyFill="1"/>
    <xf numFmtId="0" fontId="1" fillId="3" borderId="0" xfId="0" applyFont="1" applyFill="1"/>
    <xf numFmtId="44" fontId="1" fillId="3" borderId="0" xfId="2" applyFont="1" applyFill="1"/>
    <xf numFmtId="43" fontId="0" fillId="0" borderId="0" xfId="1" applyFont="1"/>
    <xf numFmtId="0" fontId="0" fillId="0" borderId="0" xfId="0" applyFill="1"/>
    <xf numFmtId="44" fontId="0" fillId="0" borderId="0" xfId="2" applyFont="1" applyFill="1"/>
    <xf numFmtId="0" fontId="6" fillId="0" borderId="0" xfId="0" applyFont="1" applyFill="1"/>
    <xf numFmtId="44" fontId="6" fillId="0" borderId="0" xfId="2" applyFont="1" applyFill="1"/>
    <xf numFmtId="9" fontId="0" fillId="0" borderId="0" xfId="0" applyNumberFormat="1"/>
    <xf numFmtId="0" fontId="0" fillId="4" borderId="0" xfId="0" applyFill="1"/>
    <xf numFmtId="9" fontId="0" fillId="4" borderId="0" xfId="0" applyNumberFormat="1" applyFill="1"/>
    <xf numFmtId="9" fontId="0" fillId="0" borderId="0" xfId="3" applyFont="1"/>
    <xf numFmtId="0" fontId="0" fillId="5" borderId="0" xfId="0" applyFill="1"/>
    <xf numFmtId="9" fontId="0" fillId="5" borderId="0" xfId="0" applyNumberFormat="1" applyFill="1"/>
    <xf numFmtId="44" fontId="0" fillId="0" borderId="0" xfId="0" applyNumberFormat="1"/>
    <xf numFmtId="0" fontId="0" fillId="6" borderId="0" xfId="0" applyFill="1"/>
    <xf numFmtId="44" fontId="0" fillId="6" borderId="0" xfId="2" applyFont="1" applyFill="1"/>
    <xf numFmtId="44" fontId="0" fillId="6" borderId="0" xfId="0" applyNumberFormat="1" applyFill="1"/>
    <xf numFmtId="44" fontId="0" fillId="0" borderId="0" xfId="0" applyNumberFormat="1" applyFill="1"/>
    <xf numFmtId="0" fontId="0" fillId="7" borderId="0" xfId="0" applyFill="1"/>
    <xf numFmtId="9" fontId="0" fillId="7" borderId="0" xfId="0" applyNumberFormat="1" applyFill="1"/>
    <xf numFmtId="44" fontId="6" fillId="0" borderId="0" xfId="0" applyNumberFormat="1" applyFont="1" applyFill="1"/>
    <xf numFmtId="0" fontId="1" fillId="8" borderId="0" xfId="0" applyFont="1" applyFill="1"/>
    <xf numFmtId="44" fontId="1" fillId="8" borderId="0" xfId="2" applyFont="1" applyFill="1"/>
    <xf numFmtId="43" fontId="0" fillId="6" borderId="0" xfId="1" applyFont="1" applyFill="1"/>
    <xf numFmtId="44" fontId="1" fillId="8" borderId="0" xfId="0" applyNumberFormat="1" applyFont="1" applyFill="1"/>
    <xf numFmtId="44" fontId="0" fillId="5" borderId="0" xfId="2" applyFont="1" applyFill="1"/>
    <xf numFmtId="8" fontId="0" fillId="5" borderId="0" xfId="0" applyNumberFormat="1" applyFill="1"/>
    <xf numFmtId="1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152400</xdr:rowOff>
    </xdr:from>
    <xdr:to>
      <xdr:col>5</xdr:col>
      <xdr:colOff>0</xdr:colOff>
      <xdr:row>47</xdr:row>
      <xdr:rowOff>50800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B675075-6E92-FF44-B98D-CA09300718AE}"/>
            </a:ext>
          </a:extLst>
        </xdr:cNvPr>
        <xdr:cNvCxnSpPr/>
      </xdr:nvCxnSpPr>
      <xdr:spPr>
        <a:xfrm>
          <a:off x="6299200" y="3403600"/>
          <a:ext cx="0" cy="6197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F2AF-BC77-C443-8D22-4A0273CC1A93}">
  <dimension ref="B1:AJ54"/>
  <sheetViews>
    <sheetView tabSelected="1" topLeftCell="A11" workbookViewId="0">
      <selection activeCell="AH44" sqref="AH44"/>
    </sheetView>
  </sheetViews>
  <sheetFormatPr baseColWidth="10" defaultRowHeight="16"/>
  <cols>
    <col min="2" max="2" width="20.5" customWidth="1"/>
    <col min="3" max="3" width="17.6640625" bestFit="1" customWidth="1"/>
    <col min="4" max="5" width="16.83203125" bestFit="1" customWidth="1"/>
    <col min="6" max="6" width="17.6640625" bestFit="1" customWidth="1"/>
    <col min="7" max="7" width="16.83203125" bestFit="1" customWidth="1"/>
    <col min="8" max="8" width="16.1640625" bestFit="1" customWidth="1"/>
    <col min="9" max="9" width="17.83203125" bestFit="1" customWidth="1"/>
    <col min="10" max="36" width="17.6640625" bestFit="1" customWidth="1"/>
  </cols>
  <sheetData>
    <row r="1" spans="2:31">
      <c r="B1" s="35">
        <v>45019</v>
      </c>
    </row>
    <row r="3" spans="2:31">
      <c r="C3" s="3" t="s">
        <v>0</v>
      </c>
      <c r="D3" s="3" t="s">
        <v>1</v>
      </c>
      <c r="E3" s="3" t="s">
        <v>2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3</v>
      </c>
      <c r="K3" s="3" t="s">
        <v>4</v>
      </c>
      <c r="L3" s="3" t="s">
        <v>5</v>
      </c>
      <c r="M3" s="3" t="s">
        <v>10</v>
      </c>
      <c r="N3" s="1"/>
      <c r="O3" s="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5" spans="2:31">
      <c r="B5" s="4" t="s">
        <v>27</v>
      </c>
      <c r="E5" s="5">
        <v>18192000</v>
      </c>
      <c r="F5" s="5">
        <v>11280000</v>
      </c>
      <c r="G5" s="5">
        <v>5287000</v>
      </c>
      <c r="H5" s="5">
        <v>27478000</v>
      </c>
      <c r="I5" s="5">
        <v>40703000</v>
      </c>
      <c r="J5" s="5">
        <v>55474000</v>
      </c>
      <c r="K5" s="5">
        <v>63057000</v>
      </c>
      <c r="L5" s="5">
        <v>51762000</v>
      </c>
      <c r="O5" s="4"/>
    </row>
    <row r="6" spans="2:31">
      <c r="B6" t="s">
        <v>28</v>
      </c>
      <c r="E6" s="5">
        <v>16781000</v>
      </c>
      <c r="F6" s="5">
        <v>8817000</v>
      </c>
      <c r="G6" s="5">
        <v>17738000</v>
      </c>
      <c r="H6" s="5">
        <v>20793000</v>
      </c>
      <c r="I6" s="5">
        <v>36968000</v>
      </c>
      <c r="J6" s="5">
        <v>50516000</v>
      </c>
      <c r="K6" s="5">
        <v>54590000</v>
      </c>
      <c r="L6" s="5">
        <v>49932000</v>
      </c>
    </row>
    <row r="7" spans="2:31">
      <c r="B7" t="s">
        <v>29</v>
      </c>
      <c r="C7" s="2"/>
      <c r="E7" s="5">
        <f>E5-E6</f>
        <v>1411000</v>
      </c>
      <c r="F7" s="5">
        <v>2463000</v>
      </c>
      <c r="G7" s="5">
        <f>G5-G6</f>
        <v>-12451000</v>
      </c>
      <c r="I7" s="5">
        <f>I5-I6</f>
        <v>3735000</v>
      </c>
      <c r="J7" s="5">
        <f>J5-J6</f>
        <v>4958000</v>
      </c>
      <c r="K7" s="5">
        <v>8467000</v>
      </c>
    </row>
    <row r="8" spans="2:31">
      <c r="B8" t="s">
        <v>30</v>
      </c>
      <c r="E8" s="5">
        <v>7078000</v>
      </c>
      <c r="F8" s="5">
        <v>8529000</v>
      </c>
      <c r="G8" s="5">
        <v>14189000</v>
      </c>
      <c r="H8" s="5">
        <v>10584000</v>
      </c>
      <c r="I8" s="5">
        <v>13477000</v>
      </c>
      <c r="J8" s="5">
        <v>19165000</v>
      </c>
      <c r="K8" s="5">
        <v>17508000</v>
      </c>
      <c r="L8" s="5">
        <v>14378000</v>
      </c>
    </row>
    <row r="9" spans="2:31">
      <c r="B9" t="s">
        <v>31</v>
      </c>
      <c r="E9" s="5">
        <v>6624000</v>
      </c>
      <c r="F9" s="5">
        <v>7068000</v>
      </c>
      <c r="G9" s="5">
        <v>25655000</v>
      </c>
      <c r="H9" s="5">
        <v>18738000</v>
      </c>
      <c r="I9" s="5">
        <v>23078000</v>
      </c>
      <c r="J9" s="5">
        <v>18952000</v>
      </c>
      <c r="K9" s="5">
        <v>22961000</v>
      </c>
      <c r="L9" s="5">
        <v>21981000</v>
      </c>
    </row>
    <row r="10" spans="2:31">
      <c r="B10" t="s">
        <v>32</v>
      </c>
      <c r="E10" s="5">
        <f>E8+E9</f>
        <v>13702000</v>
      </c>
      <c r="F10" s="5">
        <f>F8+F9</f>
        <v>15597000</v>
      </c>
      <c r="G10" s="5">
        <f>G8+G9</f>
        <v>39844000</v>
      </c>
      <c r="I10" s="5">
        <f>I8+I9</f>
        <v>36555000</v>
      </c>
      <c r="J10" s="5">
        <f>J8+J9</f>
        <v>38117000</v>
      </c>
      <c r="K10" s="5">
        <v>40469000</v>
      </c>
    </row>
    <row r="11" spans="2:31">
      <c r="B11" s="6" t="s">
        <v>33</v>
      </c>
      <c r="C11" s="6"/>
      <c r="D11" s="6"/>
      <c r="E11" s="7">
        <f>E7-E10</f>
        <v>-12291000</v>
      </c>
      <c r="F11" s="7">
        <f>F7-F10</f>
        <v>-13134000</v>
      </c>
      <c r="G11" s="7">
        <f>G5-G6-G10</f>
        <v>-52295000</v>
      </c>
      <c r="H11" s="6"/>
      <c r="I11" s="7">
        <f>I7-I10</f>
        <v>-32820000</v>
      </c>
      <c r="J11" s="7">
        <f>J7-J10</f>
        <v>-33159000</v>
      </c>
      <c r="K11" s="7">
        <f>K5-K6-K10</f>
        <v>-32002000</v>
      </c>
      <c r="L11" s="6"/>
      <c r="M11" s="6"/>
    </row>
    <row r="12" spans="2:31">
      <c r="B12" t="s">
        <v>39</v>
      </c>
      <c r="E12" s="5">
        <v>-3327000</v>
      </c>
      <c r="F12" s="5">
        <v>-3091000</v>
      </c>
      <c r="G12" s="5">
        <v>-37358000</v>
      </c>
      <c r="I12" s="5">
        <v>10499000</v>
      </c>
      <c r="J12" s="5">
        <v>-6331000</v>
      </c>
      <c r="K12" s="5">
        <v>-915000</v>
      </c>
    </row>
    <row r="13" spans="2:31">
      <c r="B13" t="s">
        <v>34</v>
      </c>
      <c r="E13" s="5">
        <f>E11+E12</f>
        <v>-15618000</v>
      </c>
      <c r="F13" s="5">
        <f>F11+F12</f>
        <v>-16225000</v>
      </c>
      <c r="G13" s="5">
        <f>G11+G12</f>
        <v>-89653000</v>
      </c>
      <c r="I13" s="5">
        <f>I11+I12</f>
        <v>-22321000</v>
      </c>
      <c r="J13" s="5">
        <f>J11+J12</f>
        <v>-39490000</v>
      </c>
      <c r="K13" s="5">
        <f>K11+K12</f>
        <v>-32917000</v>
      </c>
    </row>
    <row r="14" spans="2:31">
      <c r="B14" t="s">
        <v>35</v>
      </c>
      <c r="E14" s="5">
        <v>-264000</v>
      </c>
      <c r="F14" s="5">
        <v>-440000</v>
      </c>
      <c r="G14" s="5">
        <v>1684000</v>
      </c>
      <c r="I14" s="5">
        <v>-4388000</v>
      </c>
      <c r="J14" s="5">
        <v>2073000</v>
      </c>
      <c r="K14" s="5">
        <v>-1693000</v>
      </c>
    </row>
    <row r="15" spans="2:31">
      <c r="B15" s="8" t="s">
        <v>36</v>
      </c>
      <c r="C15" s="8"/>
      <c r="D15" s="8"/>
      <c r="E15" s="9">
        <f>E13+E14</f>
        <v>-15882000</v>
      </c>
      <c r="F15" s="9">
        <f>F13+F14</f>
        <v>-16665000</v>
      </c>
      <c r="G15" s="9">
        <f>G14+G13</f>
        <v>-87969000</v>
      </c>
      <c r="H15" s="8"/>
      <c r="I15" s="9">
        <f>I13+I14</f>
        <v>-26709000</v>
      </c>
      <c r="J15" s="9">
        <f>J13+J14</f>
        <v>-37417000</v>
      </c>
      <c r="K15" s="9">
        <f>K13+K14</f>
        <v>-34610000</v>
      </c>
      <c r="L15" s="8"/>
      <c r="M15" s="8"/>
      <c r="N15" s="4"/>
      <c r="O15" s="4"/>
    </row>
    <row r="16" spans="2:31">
      <c r="B16" t="s">
        <v>37</v>
      </c>
    </row>
    <row r="17" spans="2:23">
      <c r="B17" t="s">
        <v>38</v>
      </c>
    </row>
    <row r="19" spans="2:23">
      <c r="B19" s="4" t="s">
        <v>58</v>
      </c>
      <c r="D19" s="5">
        <v>241000000</v>
      </c>
      <c r="E19" s="5">
        <v>503600000</v>
      </c>
    </row>
    <row r="20" spans="2:23">
      <c r="D20" s="5"/>
      <c r="E20" s="5"/>
    </row>
    <row r="21" spans="2:23">
      <c r="B21" s="4" t="s">
        <v>59</v>
      </c>
      <c r="C21" s="5">
        <v>33000000</v>
      </c>
      <c r="D21" s="5">
        <v>39000000</v>
      </c>
      <c r="E21" s="5">
        <v>60700000</v>
      </c>
    </row>
    <row r="22" spans="2:23">
      <c r="B22" s="4" t="s">
        <v>60</v>
      </c>
      <c r="C22" s="5">
        <v>2000000</v>
      </c>
      <c r="D22" s="5">
        <v>23000000</v>
      </c>
      <c r="E22" s="5">
        <v>150300000</v>
      </c>
    </row>
    <row r="23" spans="2:23">
      <c r="B23" s="4" t="s">
        <v>61</v>
      </c>
      <c r="C23" s="5">
        <v>0</v>
      </c>
      <c r="D23" s="5">
        <v>0</v>
      </c>
      <c r="E23" s="5">
        <v>0</v>
      </c>
    </row>
    <row r="24" spans="2:23">
      <c r="C24" s="5"/>
      <c r="D24" s="5"/>
      <c r="E24" s="5"/>
    </row>
    <row r="25" spans="2:23">
      <c r="B25" s="4" t="s">
        <v>62</v>
      </c>
      <c r="C25" s="5"/>
      <c r="D25" s="18">
        <f>D21/C21-1</f>
        <v>0.18181818181818188</v>
      </c>
      <c r="E25" s="18">
        <f>E21/D21-1</f>
        <v>0.55641025641025643</v>
      </c>
    </row>
    <row r="26" spans="2:23">
      <c r="B26" s="4" t="s">
        <v>62</v>
      </c>
      <c r="C26" s="5"/>
      <c r="D26" s="18">
        <f>D22/C22-1</f>
        <v>10.5</v>
      </c>
      <c r="E26" s="18">
        <f t="shared" ref="E26" si="0">E22/D22-1</f>
        <v>5.534782608695652</v>
      </c>
    </row>
    <row r="28" spans="2:23">
      <c r="B28" s="1"/>
      <c r="C28" s="3" t="s">
        <v>11</v>
      </c>
      <c r="D28" s="3" t="s">
        <v>12</v>
      </c>
      <c r="E28" s="3" t="s">
        <v>13</v>
      </c>
      <c r="F28" s="3" t="s">
        <v>14</v>
      </c>
      <c r="G28" s="3" t="s">
        <v>15</v>
      </c>
      <c r="H28" s="3" t="s">
        <v>16</v>
      </c>
      <c r="I28" s="3" t="s">
        <v>17</v>
      </c>
      <c r="J28" s="3" t="s">
        <v>18</v>
      </c>
      <c r="K28" s="3" t="s">
        <v>19</v>
      </c>
      <c r="L28" s="3" t="s">
        <v>20</v>
      </c>
      <c r="M28" s="3" t="s">
        <v>21</v>
      </c>
      <c r="N28" s="3" t="s">
        <v>23</v>
      </c>
      <c r="O28" s="3" t="s">
        <v>22</v>
      </c>
      <c r="P28" s="3" t="s">
        <v>24</v>
      </c>
      <c r="Q28" s="3" t="s">
        <v>25</v>
      </c>
      <c r="R28" s="3" t="s">
        <v>26</v>
      </c>
      <c r="S28" s="3" t="s">
        <v>52</v>
      </c>
      <c r="T28" s="3" t="s">
        <v>53</v>
      </c>
      <c r="U28" s="3" t="s">
        <v>54</v>
      </c>
      <c r="V28" s="3" t="s">
        <v>55</v>
      </c>
      <c r="W28" s="3" t="s">
        <v>56</v>
      </c>
    </row>
    <row r="30" spans="2:23">
      <c r="B30" s="4" t="s">
        <v>27</v>
      </c>
      <c r="C30" s="5">
        <v>35160000</v>
      </c>
      <c r="D30" s="5">
        <v>62237000</v>
      </c>
      <c r="E30" s="5">
        <v>210996000</v>
      </c>
      <c r="F30" s="5">
        <v>284000000</v>
      </c>
      <c r="G30" s="5">
        <v>454000000</v>
      </c>
      <c r="H30" s="5">
        <v>689000000</v>
      </c>
      <c r="I30" s="5">
        <v>1100000000</v>
      </c>
      <c r="J30" s="21">
        <f>I30*I51+I30</f>
        <v>1375000000</v>
      </c>
      <c r="K30" s="21">
        <f>J30*I51+J30</f>
        <v>1718750000</v>
      </c>
      <c r="L30" s="21">
        <f>K30*I51+K30</f>
        <v>2148437500</v>
      </c>
      <c r="M30" s="21">
        <f>L30*I51+L30</f>
        <v>2685546875</v>
      </c>
      <c r="N30" s="21">
        <f>M30*J51+M30</f>
        <v>2954101562.5</v>
      </c>
      <c r="O30" s="21">
        <f>N30*J51+N30</f>
        <v>3249511718.75</v>
      </c>
      <c r="P30" s="21">
        <f>O30*J51+O30</f>
        <v>3574462890.625</v>
      </c>
      <c r="Q30" s="21">
        <f>P30*J51+P30</f>
        <v>3931909179.6875</v>
      </c>
      <c r="R30" s="21">
        <f>Q30*J51+Q30</f>
        <v>4325100097.65625</v>
      </c>
      <c r="S30" s="21">
        <f>R30*S44+R30</f>
        <v>4627857104.4921875</v>
      </c>
      <c r="T30" s="21">
        <f t="shared" ref="T30:U30" si="1">S30*T44+S30</f>
        <v>4951807101.8066406</v>
      </c>
      <c r="U30" s="21">
        <f t="shared" si="1"/>
        <v>5298433598.9331055</v>
      </c>
      <c r="V30" s="21">
        <f>U30*V44+U30</f>
        <v>5669323950.8584232</v>
      </c>
      <c r="W30" s="21">
        <f>V30*W44+V30</f>
        <v>6066176627.4185133</v>
      </c>
    </row>
    <row r="31" spans="2:23">
      <c r="B31" s="11" t="s">
        <v>28</v>
      </c>
      <c r="C31" s="12">
        <v>46977000</v>
      </c>
      <c r="D31" s="12">
        <v>64130000</v>
      </c>
      <c r="E31" s="12">
        <v>192006000</v>
      </c>
      <c r="F31" s="25">
        <f>F30-F32</f>
        <v>227200000</v>
      </c>
      <c r="G31" s="25">
        <f t="shared" ref="G31:I31" si="2">G30-G32</f>
        <v>363200000</v>
      </c>
      <c r="H31" s="25">
        <f t="shared" si="2"/>
        <v>482300000</v>
      </c>
      <c r="I31" s="25">
        <f t="shared" si="2"/>
        <v>770000000</v>
      </c>
      <c r="J31" s="25">
        <f t="shared" ref="J31" si="3">J30-J32</f>
        <v>962500000</v>
      </c>
      <c r="K31" s="25">
        <f t="shared" ref="K31" si="4">K30-K32</f>
        <v>1031250000</v>
      </c>
      <c r="L31" s="25">
        <f t="shared" ref="L31" si="5">L30-L32</f>
        <v>1289062500</v>
      </c>
      <c r="M31" s="25">
        <f t="shared" ref="M31" si="6">M30-M32</f>
        <v>1611328125</v>
      </c>
      <c r="N31" s="25">
        <f t="shared" ref="N31" si="7">N30-N32</f>
        <v>1772460937.5</v>
      </c>
      <c r="O31" s="25">
        <f t="shared" ref="O31" si="8">O30-O32</f>
        <v>1949707031.25</v>
      </c>
      <c r="P31" s="25">
        <f t="shared" ref="P31" si="9">P30-P32</f>
        <v>2144677734.375</v>
      </c>
      <c r="Q31" s="25">
        <f t="shared" ref="Q31" si="10">Q30-Q32</f>
        <v>2359145507.8125</v>
      </c>
      <c r="R31" s="25">
        <f t="shared" ref="R31" si="11">R30-R32</f>
        <v>2595060058.59375</v>
      </c>
      <c r="S31" s="25">
        <f t="shared" ref="S31" si="12">S30-S32</f>
        <v>2776714262.6953125</v>
      </c>
      <c r="T31" s="25">
        <f t="shared" ref="T31" si="13">T30-T32</f>
        <v>2971084261.0839844</v>
      </c>
      <c r="U31" s="25">
        <f t="shared" ref="U31" si="14">U30-U32</f>
        <v>3179060159.3598633</v>
      </c>
      <c r="V31" s="25">
        <f t="shared" ref="V31" si="15">V30-V32</f>
        <v>3401594370.5150537</v>
      </c>
      <c r="W31" s="25">
        <f t="shared" ref="W31" si="16">W30-W32</f>
        <v>3639705976.451108</v>
      </c>
    </row>
    <row r="32" spans="2:23">
      <c r="B32" t="s">
        <v>29</v>
      </c>
      <c r="C32" s="5">
        <f>C30-C31</f>
        <v>-11817000</v>
      </c>
      <c r="D32" s="5">
        <f>D30-D31</f>
        <v>-1893000</v>
      </c>
      <c r="E32" s="5">
        <f>E30-E31</f>
        <v>18990000</v>
      </c>
      <c r="F32" s="21">
        <f>F30*F45</f>
        <v>56800000</v>
      </c>
      <c r="G32" s="21">
        <f t="shared" ref="G32:W32" si="17">G30*G45</f>
        <v>90800000</v>
      </c>
      <c r="H32" s="21">
        <f t="shared" si="17"/>
        <v>206700000</v>
      </c>
      <c r="I32" s="21">
        <f t="shared" si="17"/>
        <v>330000000</v>
      </c>
      <c r="J32" s="21">
        <f t="shared" si="17"/>
        <v>412500000</v>
      </c>
      <c r="K32" s="21">
        <f t="shared" si="17"/>
        <v>687500000</v>
      </c>
      <c r="L32" s="21">
        <f t="shared" si="17"/>
        <v>859375000</v>
      </c>
      <c r="M32" s="21">
        <f t="shared" si="17"/>
        <v>1074218750</v>
      </c>
      <c r="N32" s="21">
        <f t="shared" si="17"/>
        <v>1181640625</v>
      </c>
      <c r="O32" s="21">
        <f t="shared" si="17"/>
        <v>1299804687.5</v>
      </c>
      <c r="P32" s="21">
        <f t="shared" si="17"/>
        <v>1429785156.25</v>
      </c>
      <c r="Q32" s="21">
        <f t="shared" si="17"/>
        <v>1572763671.875</v>
      </c>
      <c r="R32" s="21">
        <f t="shared" si="17"/>
        <v>1730040039.0625</v>
      </c>
      <c r="S32" s="21">
        <f t="shared" si="17"/>
        <v>1851142841.796875</v>
      </c>
      <c r="T32" s="21">
        <f t="shared" si="17"/>
        <v>1980722840.7226562</v>
      </c>
      <c r="U32" s="21">
        <f t="shared" si="17"/>
        <v>2119373439.5732422</v>
      </c>
      <c r="V32" s="21">
        <f t="shared" si="17"/>
        <v>2267729580.3433695</v>
      </c>
      <c r="W32" s="21">
        <f t="shared" si="17"/>
        <v>2426470650.9674053</v>
      </c>
    </row>
    <row r="33" spans="2:36">
      <c r="B33" t="s">
        <v>30</v>
      </c>
      <c r="C33" s="5">
        <v>19142000</v>
      </c>
      <c r="D33" s="5">
        <v>41765000</v>
      </c>
      <c r="E33" s="5">
        <v>65168000</v>
      </c>
      <c r="F33" s="21">
        <f>E33*I49+E33</f>
        <v>81460000</v>
      </c>
      <c r="G33" s="21">
        <f>F33*I49+F33</f>
        <v>101825000</v>
      </c>
      <c r="H33" s="21">
        <f>G33*I49+G33</f>
        <v>127281250</v>
      </c>
      <c r="I33" s="21">
        <f>H33*J49+H33</f>
        <v>137463750</v>
      </c>
      <c r="J33" s="21">
        <f>I33*J49+I33</f>
        <v>148460850</v>
      </c>
      <c r="K33" s="21">
        <f>J33*J49+J33</f>
        <v>160337718</v>
      </c>
      <c r="L33" s="21">
        <f>K33*J49+K33</f>
        <v>173164735.44</v>
      </c>
      <c r="M33" s="21">
        <f>L33*J49+L33</f>
        <v>187017914.27520001</v>
      </c>
      <c r="N33" s="21">
        <f>M33*J49+M33</f>
        <v>201979347.417216</v>
      </c>
      <c r="O33" s="21">
        <f>N33*J49+N33</f>
        <v>218137695.21059328</v>
      </c>
      <c r="P33" s="21">
        <f>O33*J49+O33</f>
        <v>235588710.82744074</v>
      </c>
      <c r="Q33" s="21">
        <f>P33*J49+P33</f>
        <v>254435807.693636</v>
      </c>
      <c r="R33" s="21">
        <f>Q33*J49+Q33</f>
        <v>274790672.30912685</v>
      </c>
      <c r="S33" s="21">
        <f>R33*J49+R33</f>
        <v>296773926.09385699</v>
      </c>
      <c r="T33" s="21">
        <f>S33*J49+S33</f>
        <v>320515840.18136555</v>
      </c>
      <c r="U33" s="21">
        <f>T33*J49+T33</f>
        <v>346157107.3958748</v>
      </c>
      <c r="V33" s="21">
        <f>U33*J49+U33</f>
        <v>373849675.98754478</v>
      </c>
      <c r="W33" s="21">
        <f>V33*J49+V33</f>
        <v>403757650.06654835</v>
      </c>
    </row>
    <row r="34" spans="2:36">
      <c r="B34" t="s">
        <v>31</v>
      </c>
      <c r="C34" s="5">
        <v>23993000</v>
      </c>
      <c r="D34" s="5">
        <v>58395000</v>
      </c>
      <c r="E34" s="5">
        <v>89026000</v>
      </c>
      <c r="F34" s="21">
        <f>E34*I50+E34</f>
        <v>111282500</v>
      </c>
      <c r="G34" s="21">
        <f>F34*I50+F34</f>
        <v>139103125</v>
      </c>
      <c r="H34" s="21">
        <f>G34*I50+G34</f>
        <v>173878906.25</v>
      </c>
      <c r="I34" s="21">
        <f>H34*J50+H34</f>
        <v>187789218.75</v>
      </c>
      <c r="J34" s="21">
        <f>I34*J50+I34</f>
        <v>202812356.25</v>
      </c>
      <c r="K34" s="21">
        <f>J34*J50+J34</f>
        <v>219037344.75</v>
      </c>
      <c r="L34" s="21">
        <f>K34*J50+K34</f>
        <v>236560332.33000001</v>
      </c>
      <c r="M34" s="21">
        <f>L34*J50+L34</f>
        <v>255485158.91640002</v>
      </c>
      <c r="N34" s="21">
        <f>M34*J50+M34</f>
        <v>275923971.62971199</v>
      </c>
      <c r="O34" s="21">
        <f>N34*J50+N34</f>
        <v>297997889.36008894</v>
      </c>
      <c r="P34" s="21">
        <f>O34*J50+O34</f>
        <v>321837720.50889605</v>
      </c>
      <c r="Q34" s="21">
        <f>P34*J50+P34</f>
        <v>347584738.14960772</v>
      </c>
      <c r="R34" s="21">
        <f>Q34*J50+Q34</f>
        <v>375391517.20157635</v>
      </c>
      <c r="S34" s="21">
        <f>R34*J50+R34</f>
        <v>405422838.57770246</v>
      </c>
      <c r="T34" s="21">
        <f>S34*J50+S34</f>
        <v>437856665.66391867</v>
      </c>
      <c r="U34" s="21">
        <f>T34*J50+T34</f>
        <v>472885198.91703218</v>
      </c>
      <c r="V34" s="21">
        <f>U34*J50+U34</f>
        <v>510716014.83039474</v>
      </c>
      <c r="W34" s="21">
        <f>V34*J50+V34</f>
        <v>551573296.01682627</v>
      </c>
    </row>
    <row r="35" spans="2:36">
      <c r="B35" s="13" t="s">
        <v>32</v>
      </c>
      <c r="C35" s="14">
        <f>C33+C34</f>
        <v>43135000</v>
      </c>
      <c r="D35" s="14">
        <f>D33+D34</f>
        <v>100160000</v>
      </c>
      <c r="E35" s="14">
        <f>E33+E34</f>
        <v>154194000</v>
      </c>
      <c r="F35" s="28">
        <f>F34+F33</f>
        <v>192742500</v>
      </c>
      <c r="G35" s="28">
        <f t="shared" ref="G35:W35" si="18">G34+G33</f>
        <v>240928125</v>
      </c>
      <c r="H35" s="28">
        <f t="shared" si="18"/>
        <v>301160156.25</v>
      </c>
      <c r="I35" s="28">
        <f t="shared" si="18"/>
        <v>325252968.75</v>
      </c>
      <c r="J35" s="28">
        <f t="shared" si="18"/>
        <v>351273206.25</v>
      </c>
      <c r="K35" s="28">
        <f t="shared" si="18"/>
        <v>379375062.75</v>
      </c>
      <c r="L35" s="28">
        <f t="shared" si="18"/>
        <v>409725067.76999998</v>
      </c>
      <c r="M35" s="28">
        <f t="shared" si="18"/>
        <v>442503073.19160002</v>
      </c>
      <c r="N35" s="28">
        <f t="shared" si="18"/>
        <v>477903319.04692799</v>
      </c>
      <c r="O35" s="28">
        <f t="shared" si="18"/>
        <v>516135584.57068223</v>
      </c>
      <c r="P35" s="28">
        <f t="shared" si="18"/>
        <v>557426431.33633685</v>
      </c>
      <c r="Q35" s="28">
        <f t="shared" si="18"/>
        <v>602020545.84324372</v>
      </c>
      <c r="R35" s="28">
        <f t="shared" si="18"/>
        <v>650182189.51070321</v>
      </c>
      <c r="S35" s="28">
        <f t="shared" si="18"/>
        <v>702196764.67155945</v>
      </c>
      <c r="T35" s="28">
        <f t="shared" si="18"/>
        <v>758372505.84528422</v>
      </c>
      <c r="U35" s="28">
        <f t="shared" si="18"/>
        <v>819042306.31290698</v>
      </c>
      <c r="V35" s="28">
        <f t="shared" si="18"/>
        <v>884565690.81793952</v>
      </c>
      <c r="W35" s="28">
        <f t="shared" si="18"/>
        <v>955330946.08337462</v>
      </c>
    </row>
    <row r="36" spans="2:36">
      <c r="B36" s="11" t="s">
        <v>33</v>
      </c>
      <c r="C36" s="12">
        <f>C32-C35</f>
        <v>-54952000</v>
      </c>
      <c r="D36" s="12">
        <f>D32-D35</f>
        <v>-102053000</v>
      </c>
      <c r="E36" s="12">
        <f>E32-E35</f>
        <v>-135204000</v>
      </c>
      <c r="F36" s="25">
        <f>F32-F35</f>
        <v>-135942500</v>
      </c>
      <c r="G36" s="25">
        <f>G32-G35</f>
        <v>-150128125</v>
      </c>
      <c r="H36" s="25">
        <f t="shared" ref="H36:W36" si="19">H32-H35</f>
        <v>-94460156.25</v>
      </c>
      <c r="I36" s="25">
        <f t="shared" si="19"/>
        <v>4747031.25</v>
      </c>
      <c r="J36" s="25">
        <f t="shared" si="19"/>
        <v>61226793.75</v>
      </c>
      <c r="K36" s="25">
        <f t="shared" si="19"/>
        <v>308124937.25</v>
      </c>
      <c r="L36" s="25">
        <f t="shared" si="19"/>
        <v>449649932.23000002</v>
      </c>
      <c r="M36" s="25">
        <f t="shared" si="19"/>
        <v>631715676.80839992</v>
      </c>
      <c r="N36" s="25">
        <f t="shared" si="19"/>
        <v>703737305.95307207</v>
      </c>
      <c r="O36" s="25">
        <f t="shared" si="19"/>
        <v>783669102.92931771</v>
      </c>
      <c r="P36" s="25">
        <f t="shared" si="19"/>
        <v>872358724.91366315</v>
      </c>
      <c r="Q36" s="25">
        <f t="shared" si="19"/>
        <v>970743126.03175628</v>
      </c>
      <c r="R36" s="25">
        <f t="shared" si="19"/>
        <v>1079857849.5517969</v>
      </c>
      <c r="S36" s="25">
        <f t="shared" si="19"/>
        <v>1148946077.1253157</v>
      </c>
      <c r="T36" s="25">
        <f t="shared" si="19"/>
        <v>1222350334.877372</v>
      </c>
      <c r="U36" s="25">
        <f t="shared" si="19"/>
        <v>1300331133.2603352</v>
      </c>
      <c r="V36" s="25">
        <f t="shared" si="19"/>
        <v>1383163889.52543</v>
      </c>
      <c r="W36" s="25">
        <f t="shared" si="19"/>
        <v>1471139704.8840308</v>
      </c>
    </row>
    <row r="37" spans="2:36">
      <c r="B37" t="s">
        <v>39</v>
      </c>
      <c r="C37" s="5">
        <v>414000</v>
      </c>
      <c r="D37" s="5">
        <v>-22787000</v>
      </c>
      <c r="E37" s="5">
        <v>2258000</v>
      </c>
    </row>
    <row r="38" spans="2:36">
      <c r="B38" t="s">
        <v>34</v>
      </c>
      <c r="C38" s="5">
        <f>C36+C37</f>
        <v>-54538000</v>
      </c>
      <c r="D38" s="5">
        <f>D36+D37</f>
        <v>-124840000</v>
      </c>
      <c r="E38" s="5">
        <f>E36+E37</f>
        <v>-132946000</v>
      </c>
    </row>
    <row r="39" spans="2:36">
      <c r="B39" t="s">
        <v>35</v>
      </c>
      <c r="C39" s="5">
        <v>-467000</v>
      </c>
      <c r="D39" s="5">
        <v>7520000</v>
      </c>
      <c r="E39" s="5">
        <v>-2998000</v>
      </c>
      <c r="I39" s="21">
        <f>-(I36*C46)</f>
        <v>-949406.25</v>
      </c>
      <c r="J39" s="21">
        <f>-(J36*C46)</f>
        <v>-12245358.75</v>
      </c>
      <c r="K39" s="21">
        <f>-(K36*C46)</f>
        <v>-61624987.450000003</v>
      </c>
      <c r="L39" s="21">
        <f>-(L36*C46)</f>
        <v>-89929986.44600001</v>
      </c>
      <c r="M39" s="21">
        <f>-(M36*C46)</f>
        <v>-126343135.36167999</v>
      </c>
      <c r="N39" s="21">
        <f>-(N36*C46)</f>
        <v>-140747461.19061443</v>
      </c>
      <c r="O39" s="21">
        <f>-(O36*C46)</f>
        <v>-156733820.58586356</v>
      </c>
      <c r="P39" s="21">
        <f>-(P36*C46)</f>
        <v>-174471744.98273265</v>
      </c>
      <c r="Q39" s="21">
        <f>-(Q36*C46)</f>
        <v>-194148625.20635128</v>
      </c>
      <c r="R39" s="21">
        <f>-(R36*C46)</f>
        <v>-215971569.91035938</v>
      </c>
      <c r="S39" s="21">
        <f>-(S36*C46)</f>
        <v>-229789215.42506313</v>
      </c>
      <c r="T39" s="21">
        <f>-(T36*C46)</f>
        <v>-244470066.97547442</v>
      </c>
      <c r="U39" s="21">
        <f>-(U36*C46)</f>
        <v>-260066226.65206707</v>
      </c>
      <c r="V39" s="21">
        <f>-(V36*C46)</f>
        <v>-276632777.90508598</v>
      </c>
      <c r="W39" s="21">
        <f>-(W36*C46)</f>
        <v>-294227940.97680616</v>
      </c>
    </row>
    <row r="40" spans="2:36">
      <c r="B40" s="29" t="s">
        <v>36</v>
      </c>
      <c r="C40" s="30">
        <f>C38+C39</f>
        <v>-55005000</v>
      </c>
      <c r="D40" s="30">
        <f>D38+D39</f>
        <v>-117320000</v>
      </c>
      <c r="E40" s="30">
        <f>E38+E39</f>
        <v>-135944000</v>
      </c>
      <c r="F40" s="32">
        <f>F36</f>
        <v>-135942500</v>
      </c>
      <c r="G40" s="32">
        <f>G36</f>
        <v>-150128125</v>
      </c>
      <c r="H40" s="32">
        <f>H36</f>
        <v>-94460156.25</v>
      </c>
      <c r="I40" s="32">
        <f>I36+I39</f>
        <v>3797625</v>
      </c>
      <c r="J40" s="32">
        <f t="shared" ref="J40:W40" si="20">J36+J39</f>
        <v>48981435</v>
      </c>
      <c r="K40" s="32">
        <f t="shared" si="20"/>
        <v>246499949.80000001</v>
      </c>
      <c r="L40" s="32">
        <f t="shared" si="20"/>
        <v>359719945.78400004</v>
      </c>
      <c r="M40" s="32">
        <f t="shared" si="20"/>
        <v>505372541.44671994</v>
      </c>
      <c r="N40" s="32">
        <f t="shared" si="20"/>
        <v>562989844.76245761</v>
      </c>
      <c r="O40" s="32">
        <f t="shared" si="20"/>
        <v>626935282.34345412</v>
      </c>
      <c r="P40" s="32">
        <f t="shared" si="20"/>
        <v>697886979.9309305</v>
      </c>
      <c r="Q40" s="32">
        <f t="shared" si="20"/>
        <v>776594500.825405</v>
      </c>
      <c r="R40" s="32">
        <f t="shared" si="20"/>
        <v>863886279.64143753</v>
      </c>
      <c r="S40" s="32">
        <f t="shared" si="20"/>
        <v>919156861.70025253</v>
      </c>
      <c r="T40" s="32">
        <f t="shared" si="20"/>
        <v>977880267.90189767</v>
      </c>
      <c r="U40" s="32">
        <f t="shared" si="20"/>
        <v>1040264906.6082681</v>
      </c>
      <c r="V40" s="32">
        <f t="shared" si="20"/>
        <v>1106531111.6203439</v>
      </c>
      <c r="W40" s="32">
        <f t="shared" si="20"/>
        <v>1176911763.9072247</v>
      </c>
      <c r="X40" s="21">
        <f>W40*I53+W40</f>
        <v>1165142646.2681525</v>
      </c>
      <c r="Y40" s="21">
        <f>X40*I53+X40</f>
        <v>1153491219.8054709</v>
      </c>
      <c r="Z40" s="21">
        <f>Y40*I53+Y40</f>
        <v>1141956307.6074162</v>
      </c>
      <c r="AA40" s="21">
        <f>Z40*I53+Z40</f>
        <v>1130536744.531342</v>
      </c>
      <c r="AB40" s="21">
        <f>AA40*I53+AA40</f>
        <v>1119231377.0860286</v>
      </c>
      <c r="AC40" s="21">
        <f>AB40*I53+AB40</f>
        <v>1108039063.3151684</v>
      </c>
      <c r="AD40" s="21">
        <f>AC40*I53+AC40</f>
        <v>1096958672.6820166</v>
      </c>
      <c r="AE40" s="21">
        <f>AD40*I53+AD40</f>
        <v>1085989085.9551964</v>
      </c>
      <c r="AF40" s="21">
        <f>AE40*I53+AE40</f>
        <v>1075129195.0956445</v>
      </c>
      <c r="AG40" s="21">
        <f>AF40*I53+AF40</f>
        <v>1064377903.144688</v>
      </c>
      <c r="AH40" s="21">
        <f>AG40*I53+AG40</f>
        <v>1053734124.1132411</v>
      </c>
      <c r="AI40" s="21">
        <f>AH40*I53+AH40</f>
        <v>1043196782.8721087</v>
      </c>
      <c r="AJ40" s="21">
        <f>AI40*I53+AI40</f>
        <v>1032764815.0433877</v>
      </c>
    </row>
    <row r="41" spans="2:36">
      <c r="B41" t="s">
        <v>37</v>
      </c>
      <c r="E41" s="5">
        <f>E40/E42</f>
        <v>-0.29159135568391598</v>
      </c>
      <c r="F41" s="5">
        <f t="shared" ref="F41:W41" si="21">F40/F42</f>
        <v>-0.28439853556485356</v>
      </c>
      <c r="G41" s="5">
        <f t="shared" si="21"/>
        <v>-0.31407557531380753</v>
      </c>
      <c r="H41" s="5">
        <f t="shared" si="21"/>
        <v>-0.19761538964435146</v>
      </c>
      <c r="I41" s="5">
        <f t="shared" si="21"/>
        <v>7.9448221757322177E-3</v>
      </c>
      <c r="J41" s="5">
        <f t="shared" si="21"/>
        <v>0.10247162133891213</v>
      </c>
      <c r="K41" s="5">
        <f t="shared" si="21"/>
        <v>0.5156902715481172</v>
      </c>
      <c r="L41" s="5">
        <f t="shared" si="21"/>
        <v>0.75255218783263611</v>
      </c>
      <c r="M41" s="5">
        <f t="shared" si="21"/>
        <v>1.0572647310600836</v>
      </c>
      <c r="N41" s="5">
        <f t="shared" si="21"/>
        <v>1.1778030225156018</v>
      </c>
      <c r="O41" s="5">
        <f t="shared" si="21"/>
        <v>1.311580088584632</v>
      </c>
      <c r="P41" s="5">
        <f t="shared" si="21"/>
        <v>1.4600146023659635</v>
      </c>
      <c r="Q41" s="5">
        <f t="shared" si="21"/>
        <v>1.6246746879192573</v>
      </c>
      <c r="R41" s="5">
        <f t="shared" si="21"/>
        <v>1.8072934720532166</v>
      </c>
      <c r="S41" s="5">
        <f t="shared" si="21"/>
        <v>1.9229223048122437</v>
      </c>
      <c r="T41" s="5">
        <f t="shared" si="21"/>
        <v>2.0457746190416271</v>
      </c>
      <c r="U41" s="5">
        <f t="shared" si="21"/>
        <v>2.1762864154984691</v>
      </c>
      <c r="V41" s="5">
        <f t="shared" si="21"/>
        <v>2.3149186435572049</v>
      </c>
      <c r="W41" s="5">
        <f t="shared" si="21"/>
        <v>2.4621585018979597</v>
      </c>
    </row>
    <row r="42" spans="2:36">
      <c r="B42" t="s">
        <v>38</v>
      </c>
      <c r="E42" s="10">
        <v>466214095</v>
      </c>
      <c r="F42" s="10">
        <v>478000000</v>
      </c>
      <c r="G42" s="10">
        <v>478000000</v>
      </c>
      <c r="H42" s="10">
        <v>478000000</v>
      </c>
      <c r="I42" s="10">
        <v>478000000</v>
      </c>
      <c r="J42" s="10">
        <v>478000000</v>
      </c>
      <c r="K42" s="10">
        <v>478000000</v>
      </c>
      <c r="L42" s="10">
        <v>478000000</v>
      </c>
      <c r="M42" s="10">
        <v>478000000</v>
      </c>
      <c r="N42" s="10">
        <v>478000000</v>
      </c>
      <c r="O42" s="10">
        <v>478000000</v>
      </c>
      <c r="P42" s="10">
        <v>478000000</v>
      </c>
      <c r="Q42" s="10">
        <v>478000000</v>
      </c>
      <c r="R42" s="10">
        <v>478000000</v>
      </c>
      <c r="S42" s="10">
        <v>478000000</v>
      </c>
      <c r="T42" s="10">
        <v>478000000</v>
      </c>
      <c r="U42" s="10">
        <v>478000000</v>
      </c>
      <c r="V42" s="10">
        <v>478000000</v>
      </c>
      <c r="W42" s="10">
        <v>478000000</v>
      </c>
    </row>
    <row r="44" spans="2:36">
      <c r="B44" t="s">
        <v>40</v>
      </c>
      <c r="D44" s="18">
        <f>D30/C30-1</f>
        <v>0.77010807736063702</v>
      </c>
      <c r="E44" s="18">
        <f t="shared" ref="E44:I44" si="22">E30/D30-1</f>
        <v>2.390201969889294</v>
      </c>
      <c r="F44" s="18">
        <f t="shared" si="22"/>
        <v>0.34599708051337474</v>
      </c>
      <c r="G44" s="18">
        <f t="shared" si="22"/>
        <v>0.59859154929577474</v>
      </c>
      <c r="H44" s="18">
        <f t="shared" si="22"/>
        <v>0.51762114537444925</v>
      </c>
      <c r="I44" s="18">
        <f t="shared" si="22"/>
        <v>0.59651669085631354</v>
      </c>
      <c r="J44" s="15">
        <f>I51</f>
        <v>0.25</v>
      </c>
      <c r="K44" s="15">
        <f>I51</f>
        <v>0.25</v>
      </c>
      <c r="L44" s="15">
        <f>I51</f>
        <v>0.25</v>
      </c>
      <c r="M44" s="15">
        <f>I51</f>
        <v>0.25</v>
      </c>
      <c r="N44" s="15">
        <f>J51</f>
        <v>0.1</v>
      </c>
      <c r="O44" s="15">
        <f>J51</f>
        <v>0.1</v>
      </c>
      <c r="P44" s="15">
        <f>J51</f>
        <v>0.1</v>
      </c>
      <c r="Q44" s="15">
        <f>J51</f>
        <v>0.1</v>
      </c>
      <c r="R44" s="15">
        <f>J51</f>
        <v>0.1</v>
      </c>
      <c r="S44" s="15">
        <f>K51</f>
        <v>7.0000000000000007E-2</v>
      </c>
      <c r="T44" s="15">
        <f>K51</f>
        <v>7.0000000000000007E-2</v>
      </c>
      <c r="U44" s="15">
        <f>K51</f>
        <v>7.0000000000000007E-2</v>
      </c>
      <c r="V44" s="15">
        <f>K51</f>
        <v>7.0000000000000007E-2</v>
      </c>
      <c r="W44" s="15">
        <f>K51</f>
        <v>7.0000000000000007E-2</v>
      </c>
    </row>
    <row r="45" spans="2:36">
      <c r="B45" t="s">
        <v>41</v>
      </c>
      <c r="C45" s="18">
        <f>C32/C30</f>
        <v>-0.33609215017064847</v>
      </c>
      <c r="D45" s="18">
        <f>D32/D30</f>
        <v>-3.0415990487973391E-2</v>
      </c>
      <c r="E45" s="18">
        <f t="shared" ref="E45" si="23">E32/E30</f>
        <v>9.0001706193482342E-2</v>
      </c>
      <c r="F45" s="15">
        <v>0.2</v>
      </c>
      <c r="G45" s="15">
        <v>0.2</v>
      </c>
      <c r="H45" s="15">
        <v>0.3</v>
      </c>
      <c r="I45" s="15">
        <v>0.3</v>
      </c>
      <c r="J45" s="15">
        <v>0.3</v>
      </c>
      <c r="K45" s="15">
        <v>0.4</v>
      </c>
      <c r="L45" s="15">
        <v>0.4</v>
      </c>
      <c r="M45" s="15">
        <v>0.4</v>
      </c>
      <c r="N45" s="15">
        <v>0.4</v>
      </c>
      <c r="O45" s="15">
        <v>0.4</v>
      </c>
      <c r="P45" s="15">
        <v>0.4</v>
      </c>
      <c r="Q45" s="15">
        <v>0.4</v>
      </c>
      <c r="R45" s="15">
        <v>0.4</v>
      </c>
      <c r="S45" s="15">
        <v>0.4</v>
      </c>
      <c r="T45" s="15">
        <v>0.4</v>
      </c>
      <c r="U45" s="15">
        <v>0.4</v>
      </c>
      <c r="V45" s="15">
        <v>0.4</v>
      </c>
      <c r="W45" s="15">
        <v>0.4</v>
      </c>
    </row>
    <row r="46" spans="2:36">
      <c r="B46" s="16" t="s">
        <v>42</v>
      </c>
      <c r="C46" s="17">
        <v>0.2</v>
      </c>
    </row>
    <row r="49" spans="2:11">
      <c r="B49" s="19" t="s">
        <v>43</v>
      </c>
      <c r="C49" s="20">
        <v>0.1</v>
      </c>
      <c r="E49" s="22" t="s">
        <v>46</v>
      </c>
      <c r="F49" s="23">
        <v>4</v>
      </c>
      <c r="H49" s="26" t="s">
        <v>30</v>
      </c>
      <c r="I49" s="27">
        <v>0.25</v>
      </c>
      <c r="J49" s="27">
        <v>0.08</v>
      </c>
      <c r="K49" s="26"/>
    </row>
    <row r="50" spans="2:11">
      <c r="B50" s="19" t="s">
        <v>44</v>
      </c>
      <c r="C50" s="34">
        <f>NPV(C49,F40:AJ40)</f>
        <v>4050620518.4085789</v>
      </c>
      <c r="E50" s="22" t="s">
        <v>38</v>
      </c>
      <c r="F50" s="31">
        <v>478000000</v>
      </c>
      <c r="H50" s="26" t="s">
        <v>31</v>
      </c>
      <c r="I50" s="27">
        <v>0.25</v>
      </c>
      <c r="J50" s="27">
        <v>0.08</v>
      </c>
      <c r="K50" s="26"/>
    </row>
    <row r="51" spans="2:11">
      <c r="B51" s="19" t="s">
        <v>45</v>
      </c>
      <c r="C51" s="33">
        <f>C50/F50</f>
        <v>8.4741015029468176</v>
      </c>
      <c r="E51" s="22" t="s">
        <v>47</v>
      </c>
      <c r="F51" s="24">
        <f>F50*F49</f>
        <v>1912000000</v>
      </c>
      <c r="H51" s="26" t="s">
        <v>51</v>
      </c>
      <c r="I51" s="27">
        <v>0.25</v>
      </c>
      <c r="J51" s="27">
        <v>0.1</v>
      </c>
      <c r="K51" s="27">
        <v>7.0000000000000007E-2</v>
      </c>
    </row>
    <row r="52" spans="2:11">
      <c r="E52" s="22" t="s">
        <v>48</v>
      </c>
      <c r="F52" s="23">
        <v>400000000</v>
      </c>
    </row>
    <row r="53" spans="2:11">
      <c r="E53" s="22" t="s">
        <v>49</v>
      </c>
      <c r="F53" s="23">
        <v>163000000</v>
      </c>
      <c r="H53" s="26" t="s">
        <v>57</v>
      </c>
      <c r="I53" s="27">
        <v>-0.01</v>
      </c>
    </row>
    <row r="54" spans="2:11">
      <c r="E54" s="22" t="s">
        <v>50</v>
      </c>
      <c r="F54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2023-03-13T21:44:44Z</dcterms:created>
  <dcterms:modified xsi:type="dcterms:W3CDTF">2023-04-04T04:45:49Z</dcterms:modified>
</cp:coreProperties>
</file>