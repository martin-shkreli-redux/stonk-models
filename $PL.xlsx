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ccall/Desktop/$MODELZ/$PL/"/>
    </mc:Choice>
  </mc:AlternateContent>
  <xr:revisionPtr revIDLastSave="0" documentId="13_ncr:1_{39A29D9F-5A40-3A48-9B5A-63CD4ABF136D}" xr6:coauthVersionLast="45" xr6:coauthVersionMax="45" xr10:uidLastSave="{00000000-0000-0000-0000-000000000000}"/>
  <bookViews>
    <workbookView xWindow="260" yWindow="800" windowWidth="30920" windowHeight="18640" xr2:uid="{BBC8F085-B4C0-744C-A37E-972BC041153F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0" i="1" l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J20" i="1"/>
  <c r="I20" i="1"/>
  <c r="F25" i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H20" i="1"/>
  <c r="E37" i="1"/>
  <c r="D37" i="1"/>
  <c r="K12" i="1"/>
  <c r="K9" i="1"/>
  <c r="F41" i="1" l="1"/>
  <c r="E24" i="1"/>
  <c r="G22" i="1" l="1"/>
  <c r="G21" i="1" s="1"/>
  <c r="F22" i="1"/>
  <c r="F21" i="1" s="1"/>
  <c r="G34" i="1"/>
  <c r="F34" i="1"/>
  <c r="E34" i="1"/>
  <c r="D34" i="1"/>
  <c r="D24" i="1"/>
  <c r="D25" i="1" s="1"/>
  <c r="E25" i="1"/>
  <c r="E22" i="1"/>
  <c r="E26" i="1" s="1"/>
  <c r="D22" i="1"/>
  <c r="D35" i="1" s="1"/>
  <c r="C24" i="1"/>
  <c r="C25" i="1" s="1"/>
  <c r="C26" i="1" s="1"/>
  <c r="C28" i="1" s="1"/>
  <c r="C30" i="1" s="1"/>
  <c r="C22" i="1"/>
  <c r="C35" i="1" s="1"/>
  <c r="C11" i="1"/>
  <c r="C7" i="1"/>
  <c r="C9" i="1"/>
  <c r="C10" i="1" s="1"/>
  <c r="G7" i="1"/>
  <c r="G11" i="1" s="1"/>
  <c r="G9" i="1"/>
  <c r="G10" i="1" s="1"/>
  <c r="D7" i="1"/>
  <c r="D9" i="1"/>
  <c r="D10" i="1" s="1"/>
  <c r="H9" i="1"/>
  <c r="H10" i="1" s="1"/>
  <c r="H7" i="1"/>
  <c r="O10" i="1"/>
  <c r="O11" i="1" s="1"/>
  <c r="O13" i="1" s="1"/>
  <c r="O15" i="1" s="1"/>
  <c r="N10" i="1"/>
  <c r="M10" i="1"/>
  <c r="L10" i="1"/>
  <c r="K10" i="1"/>
  <c r="J10" i="1"/>
  <c r="F10" i="1"/>
  <c r="I9" i="1"/>
  <c r="I10" i="1" s="1"/>
  <c r="O7" i="1"/>
  <c r="N7" i="1"/>
  <c r="N11" i="1" s="1"/>
  <c r="N13" i="1" s="1"/>
  <c r="N15" i="1" s="1"/>
  <c r="M7" i="1"/>
  <c r="M11" i="1" s="1"/>
  <c r="M13" i="1" s="1"/>
  <c r="M15" i="1" s="1"/>
  <c r="L7" i="1"/>
  <c r="L11" i="1" s="1"/>
  <c r="L13" i="1" s="1"/>
  <c r="L15" i="1" s="1"/>
  <c r="K7" i="1"/>
  <c r="J7" i="1"/>
  <c r="I7" i="1"/>
  <c r="I11" i="1" s="1"/>
  <c r="I13" i="1" s="1"/>
  <c r="I15" i="1" s="1"/>
  <c r="F7" i="1"/>
  <c r="F11" i="1" s="1"/>
  <c r="F13" i="1" s="1"/>
  <c r="F15" i="1" s="1"/>
  <c r="E9" i="1"/>
  <c r="E10" i="1" s="1"/>
  <c r="E7" i="1"/>
  <c r="E11" i="1" s="1"/>
  <c r="E13" i="1" s="1"/>
  <c r="E15" i="1" s="1"/>
  <c r="K11" i="1" l="1"/>
  <c r="K13" i="1" s="1"/>
  <c r="K15" i="1" s="1"/>
  <c r="J11" i="1"/>
  <c r="F26" i="1"/>
  <c r="F28" i="1" s="1"/>
  <c r="F30" i="1" s="1"/>
  <c r="F31" i="1" s="1"/>
  <c r="D11" i="1"/>
  <c r="H11" i="1"/>
  <c r="H13" i="1" s="1"/>
  <c r="H15" i="1" s="1"/>
  <c r="D26" i="1"/>
  <c r="D28" i="1" s="1"/>
  <c r="D30" i="1" s="1"/>
  <c r="H22" i="1"/>
  <c r="H21" i="1" s="1"/>
  <c r="I22" i="1"/>
  <c r="E28" i="1"/>
  <c r="E30" i="1" s="1"/>
  <c r="E31" i="1" s="1"/>
  <c r="E35" i="1"/>
  <c r="C13" i="1"/>
  <c r="C15" i="1" s="1"/>
  <c r="G13" i="1"/>
  <c r="G15" i="1" s="1"/>
  <c r="D13" i="1"/>
  <c r="D15" i="1" s="1"/>
  <c r="H26" i="1" l="1"/>
  <c r="H28" i="1" s="1"/>
  <c r="H30" i="1" s="1"/>
  <c r="I26" i="1"/>
  <c r="I28" i="1" s="1"/>
  <c r="I30" i="1" s="1"/>
  <c r="I31" i="1" s="1"/>
  <c r="I21" i="1"/>
  <c r="J22" i="1"/>
  <c r="H31" i="1" l="1"/>
  <c r="J21" i="1"/>
  <c r="J26" i="1"/>
  <c r="G26" i="1"/>
  <c r="G28" i="1" s="1"/>
  <c r="G30" i="1" s="1"/>
  <c r="G31" i="1" s="1"/>
  <c r="K22" i="1"/>
  <c r="K21" i="1" s="1"/>
  <c r="J28" i="1" l="1"/>
  <c r="J30" i="1" s="1"/>
  <c r="K26" i="1"/>
  <c r="K28" i="1" s="1"/>
  <c r="L22" i="1"/>
  <c r="J31" i="1" l="1"/>
  <c r="L26" i="1"/>
  <c r="L28" i="1" s="1"/>
  <c r="L29" i="1" s="1"/>
  <c r="L30" i="1" s="1"/>
  <c r="L31" i="1" s="1"/>
  <c r="L21" i="1"/>
  <c r="M22" i="1"/>
  <c r="M21" i="1" s="1"/>
  <c r="K29" i="1"/>
  <c r="K30" i="1" s="1"/>
  <c r="K31" i="1" s="1"/>
  <c r="M26" i="1" l="1"/>
  <c r="M28" i="1" s="1"/>
  <c r="N22" i="1"/>
  <c r="N21" i="1" s="1"/>
  <c r="M29" i="1" l="1"/>
  <c r="M30" i="1" s="1"/>
  <c r="N26" i="1"/>
  <c r="N28" i="1" s="1"/>
  <c r="O22" i="1"/>
  <c r="O21" i="1" s="1"/>
  <c r="M31" i="1" l="1"/>
  <c r="N29" i="1"/>
  <c r="N30" i="1" s="1"/>
  <c r="N31" i="1" s="1"/>
  <c r="O26" i="1"/>
  <c r="O28" i="1" s="1"/>
  <c r="O29" i="1" s="1"/>
  <c r="O30" i="1" s="1"/>
  <c r="O31" i="1" s="1"/>
  <c r="P22" i="1"/>
  <c r="P21" i="1" s="1"/>
  <c r="P26" i="1" l="1"/>
  <c r="P28" i="1" s="1"/>
  <c r="Q22" i="1"/>
  <c r="P29" i="1" l="1"/>
  <c r="P30" i="1" s="1"/>
  <c r="Q26" i="1"/>
  <c r="Q28" i="1" s="1"/>
  <c r="Q29" i="1" s="1"/>
  <c r="Q30" i="1" s="1"/>
  <c r="Q31" i="1" s="1"/>
  <c r="R22" i="1"/>
  <c r="R21" i="1" s="1"/>
  <c r="Q21" i="1"/>
  <c r="P31" i="1" l="1"/>
  <c r="R26" i="1"/>
  <c r="R28" i="1" s="1"/>
  <c r="R29" i="1" s="1"/>
  <c r="R30" i="1" s="1"/>
  <c r="R31" i="1" s="1"/>
  <c r="S22" i="1"/>
  <c r="S21" i="1" s="1"/>
  <c r="S26" i="1" l="1"/>
  <c r="S28" i="1" s="1"/>
  <c r="S29" i="1" s="1"/>
  <c r="S30" i="1" s="1"/>
  <c r="S31" i="1" s="1"/>
  <c r="T22" i="1"/>
  <c r="T26" i="1" l="1"/>
  <c r="T28" i="1" s="1"/>
  <c r="T29" i="1" s="1"/>
  <c r="T30" i="1" s="1"/>
  <c r="T31" i="1" s="1"/>
  <c r="T21" i="1"/>
  <c r="U22" i="1"/>
  <c r="U26" i="1" l="1"/>
  <c r="U28" i="1" s="1"/>
  <c r="U29" i="1" s="1"/>
  <c r="V22" i="1"/>
  <c r="V21" i="1" s="1"/>
  <c r="U21" i="1"/>
  <c r="V26" i="1" l="1"/>
  <c r="V28" i="1" s="1"/>
  <c r="V29" i="1" s="1"/>
  <c r="V30" i="1" s="1"/>
  <c r="U30" i="1"/>
  <c r="U31" i="1" s="1"/>
  <c r="V31" i="1" l="1"/>
  <c r="W30" i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C40" i="1" l="1"/>
  <c r="C41" i="1" s="1"/>
</calcChain>
</file>

<file path=xl/sharedStrings.xml><?xml version="1.0" encoding="utf-8"?>
<sst xmlns="http://schemas.openxmlformats.org/spreadsheetml/2006/main" count="70" uniqueCount="59">
  <si>
    <t>COGS</t>
  </si>
  <si>
    <t>Revenue</t>
  </si>
  <si>
    <t>Gross Profit</t>
  </si>
  <si>
    <t>R &amp; D</t>
  </si>
  <si>
    <t xml:space="preserve"> SG&amp;A</t>
  </si>
  <si>
    <t>OpEx</t>
  </si>
  <si>
    <t>Op Income</t>
  </si>
  <si>
    <t>other income &amp; interest</t>
  </si>
  <si>
    <t>Pre Tax</t>
  </si>
  <si>
    <t>Taxes</t>
  </si>
  <si>
    <t>Net Income</t>
  </si>
  <si>
    <t>EPS</t>
  </si>
  <si>
    <t>Shares</t>
  </si>
  <si>
    <t>R&amp;D</t>
  </si>
  <si>
    <t>SG&amp;A</t>
  </si>
  <si>
    <t xml:space="preserve">Pre Tax </t>
  </si>
  <si>
    <t>Rev y/y</t>
  </si>
  <si>
    <t>Gross Profit y/y</t>
  </si>
  <si>
    <t>Tax Rate</t>
  </si>
  <si>
    <t>Discount</t>
  </si>
  <si>
    <t>NPV</t>
  </si>
  <si>
    <t>Share</t>
  </si>
  <si>
    <t xml:space="preserve">Price </t>
  </si>
  <si>
    <t>MC</t>
  </si>
  <si>
    <t>Cash</t>
  </si>
  <si>
    <t>Debt</t>
  </si>
  <si>
    <t>EV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</si>
  <si>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</si>
  <si>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</si>
  <si>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</si>
  <si>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</si>
  <si>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</si>
  <si>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</si>
  <si>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</si>
  <si>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</si>
  <si>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</si>
  <si>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</si>
  <si>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</si>
  <si>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</si>
  <si>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F2034</t>
  </si>
  <si>
    <t>F2033</t>
  </si>
  <si>
    <t>F2035</t>
  </si>
  <si>
    <t>F2036</t>
  </si>
  <si>
    <t>F2037</t>
  </si>
  <si>
    <t>F2038</t>
  </si>
  <si>
    <t>F2039</t>
  </si>
  <si>
    <t>F2040</t>
  </si>
  <si>
    <t>Q1/22</t>
  </si>
  <si>
    <t>Q2/22</t>
  </si>
  <si>
    <t>Q3/22</t>
  </si>
  <si>
    <t>Q4/22</t>
  </si>
  <si>
    <t>Q1/23</t>
  </si>
  <si>
    <t>Q2/23</t>
  </si>
  <si>
    <t>Q3/23</t>
  </si>
  <si>
    <t>Q4/23</t>
  </si>
  <si>
    <t>Q1/24</t>
  </si>
  <si>
    <t>Q2/24</t>
  </si>
  <si>
    <t>Terminal Net Inc</t>
  </si>
  <si>
    <t>OpEx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</si>
</sst>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9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  <xf numFmtId="44" fontId="0" fillId="0" borderId="0" xfId="2" applyFont="1"/>
    <xf numFmtId="44" fontId="0" fillId="0" borderId="0" xfId="0" applyNumberFormat="1"/>
    <xf numFmtId="0" fontId="2" fillId="4" borderId="0" xfId="0" applyFont="1" applyFill="1"/>
    <xf numFmtId="44" fontId="0" fillId="4" borderId="0" xfId="0" applyNumberFormat="1" applyFill="1"/>
    <xf numFmtId="0" fontId="2" fillId="5" borderId="0" xfId="0" applyFont="1" applyFill="1"/>
    <xf numFmtId="44" fontId="0" fillId="5" borderId="0" xfId="2" applyFont="1" applyFill="1"/>
    <xf numFmtId="44" fontId="0" fillId="3" borderId="0" xfId="2" applyFont="1" applyFill="1"/>
    <xf numFmtId="43" fontId="0" fillId="3" borderId="0" xfId="1" applyFont="1" applyFill="1"/>
    <xf numFmtId="43" fontId="0" fillId="0" borderId="0" xfId="1" applyFont="1"/>
    <xf numFmtId="9" fontId="0" fillId="2" borderId="0" xfId="0" applyNumberFormat="1" applyFill="1"/>
    <xf numFmtId="0" fontId="0" fillId="6" borderId="0" xfId="0" applyFill="1"/>
    <xf numFmtId="9" fontId="0" fillId="6" borderId="0" xfId="0" applyNumberFormat="1" applyFill="1"/>
    <xf numFmtId="9" fontId="0" fillId="0" borderId="0" xfId="3" applyFont="1"/>
    <xf numFmtId="0" fontId="0" fillId="7" borderId="0" xfId="0" applyFill="1"/>
    <xf numFmtId="9" fontId="0" fillId="7" borderId="0" xfId="3" applyFont="1" applyFill="1"/>
    <xf numFmtId="44" fontId="0" fillId="2" borderId="0" xfId="2" applyFont="1" applyFill="1"/>
    <xf numFmtId="8" fontId="0" fillId="2" borderId="0" xfId="0" applyNumberFormat="1" applyFill="1"/>
    <xf numFmtId="14" fontId="0" fillId="0" borderId="0" xfId="0" applyNumberFormat="1"/>
    <xf numFmtId="0" fontId="0" fillId="0" borderId="0" xfId="0" applyFill="1"/>
    <xf numFmtId="9" fontId="0" fillId="0" borderId="0" xfId="0" applyNumberForma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15</xdr:row>
      <xdr:rowOff>177800</xdr:rowOff>
    </xdr:from>
    <xdr:to>
      <xdr:col>5</xdr:col>
      <xdr:colOff>12700</xdr:colOff>
      <xdr:row>35</xdr:row>
      <xdr:rowOff>127000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285F3FD-CB19-0D4B-A41B-95A3AAC0D913}"/>
            </a:ext>
          </a:extLst>
        </xdr:cNvPr>
        <xdr:cNvCxnSpPr/>
      </xdr:nvCxnSpPr>
      <xdr:spPr>
        <a:xfrm>
          <a:off x="6337300" y="3225800"/>
          <a:ext cx="0" cy="40132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</xdr:row>
      <xdr:rowOff>88900</xdr:rowOff>
    </xdr:from>
    <xdr:to>
      <xdr:col>11</xdr:col>
      <xdr:colOff>0</xdr:colOff>
      <xdr:row>17</xdr:row>
      <xdr:rowOff>25400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785B51A-3020-3048-9731-0CA3CEB8CEF0}"/>
            </a:ext>
          </a:extLst>
        </xdr:cNvPr>
        <xdr:cNvCxnSpPr/>
      </xdr:nvCxnSpPr>
      <xdr:spPr>
        <a:xfrm>
          <a:off x="14147800" y="495300"/>
          <a:ext cx="0" cy="2984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B1A1-E530-3A46-A198-6BBE4EC0825E}">
  <dimension ref="B2:AN44"/>
  <sheetViews>
    <sheetView tabSelected="1" topLeftCell="A3" workbookViewId="0">
      <selection activeCell="G34" sqref="G34"/>
    </sheetView>
  </sheetViews>
  <sheetFormatPr baseColWidth="10" defaultRowHeight="16" x14ac:dyDescent="0.2"/>
  <cols>
    <col min="2" max="2" width="20.83203125" customWidth="1"/>
    <col min="3" max="3" width="17.6640625" bestFit="1" customWidth="1"/>
    <col min="4" max="5" width="16.83203125" bestFit="1" customWidth="1"/>
    <col min="6" max="6" width="17.6640625" bestFit="1" customWidth="1"/>
    <col min="7" max="10" width="16.83203125" bestFit="1" customWidth="1"/>
    <col min="11" max="40" width="17.6640625" bestFit="1" customWidth="1"/>
  </cols>
  <sheetData>
    <row r="2" spans="2:15" x14ac:dyDescent="0.2">
      <c r="B2" s="22">
        <v>45108</v>
      </c>
    </row>
    <row r="4" spans="2:15" x14ac:dyDescent="0.2"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/>
      <c r="N4" s="2"/>
      <c r="O4" s="2"/>
    </row>
    <row r="5" spans="2:15" x14ac:dyDescent="0.2">
      <c r="B5" s="2" t="s">
        <v>1</v>
      </c>
      <c r="C5" s="5">
        <v>31957000</v>
      </c>
      <c r="D5" s="5">
        <v>30406000</v>
      </c>
      <c r="E5" s="5">
        <v>31700000</v>
      </c>
      <c r="G5" s="5">
        <v>40127000</v>
      </c>
      <c r="H5" s="5">
        <v>48450000</v>
      </c>
      <c r="I5" s="5">
        <v>49704000</v>
      </c>
      <c r="J5" s="5">
        <v>52975000</v>
      </c>
      <c r="K5" s="5">
        <v>52703000</v>
      </c>
    </row>
    <row r="6" spans="2:15" x14ac:dyDescent="0.2">
      <c r="B6" t="s">
        <v>0</v>
      </c>
      <c r="C6" s="5">
        <v>19126000</v>
      </c>
      <c r="D6" s="5">
        <v>19820000</v>
      </c>
      <c r="E6" s="5">
        <v>20811000</v>
      </c>
      <c r="G6" s="5">
        <v>23628000</v>
      </c>
      <c r="H6" s="5">
        <v>24977000</v>
      </c>
      <c r="I6" s="5">
        <v>24728000</v>
      </c>
      <c r="J6" s="5">
        <v>23915000</v>
      </c>
      <c r="K6" s="5">
        <v>24556000</v>
      </c>
    </row>
    <row r="7" spans="2:15" x14ac:dyDescent="0.2">
      <c r="B7" t="s">
        <v>2</v>
      </c>
      <c r="C7" s="5">
        <f>C5-C6</f>
        <v>12831000</v>
      </c>
      <c r="D7" s="5">
        <f>D5-D6</f>
        <v>10586000</v>
      </c>
      <c r="E7" s="5">
        <f>E5-E6</f>
        <v>10889000</v>
      </c>
      <c r="F7" s="5">
        <f t="shared" ref="F7:O7" si="0">F5-F6</f>
        <v>0</v>
      </c>
      <c r="G7" s="5">
        <f>G5-G6</f>
        <v>16499000</v>
      </c>
      <c r="H7" s="5">
        <f>H5-H6</f>
        <v>23473000</v>
      </c>
      <c r="I7" s="5">
        <f t="shared" si="0"/>
        <v>24976000</v>
      </c>
      <c r="J7" s="5">
        <f t="shared" si="0"/>
        <v>29060000</v>
      </c>
      <c r="K7" s="5">
        <f t="shared" si="0"/>
        <v>28147000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</row>
    <row r="8" spans="2:15" x14ac:dyDescent="0.2">
      <c r="B8" t="s">
        <v>3</v>
      </c>
      <c r="C8" s="5">
        <v>12130000</v>
      </c>
      <c r="D8" s="5">
        <v>12432000</v>
      </c>
      <c r="E8" s="5">
        <v>14959000</v>
      </c>
      <c r="G8" s="5">
        <v>24750000</v>
      </c>
      <c r="H8" s="5">
        <v>26737000</v>
      </c>
      <c r="I8" s="5">
        <v>27598000</v>
      </c>
      <c r="J8" s="5">
        <v>31831000</v>
      </c>
      <c r="K8" s="5">
        <v>28186000</v>
      </c>
    </row>
    <row r="9" spans="2:15" x14ac:dyDescent="0.2">
      <c r="B9" t="s">
        <v>4</v>
      </c>
      <c r="C9" s="5">
        <f>(10653000+8315000)</f>
        <v>18968000</v>
      </c>
      <c r="D9" s="5">
        <f>(10597000+11824000)</f>
        <v>22421000</v>
      </c>
      <c r="E9" s="5">
        <f>(12441000+11800000)</f>
        <v>24241000</v>
      </c>
      <c r="G9" s="5">
        <f>(18855000+20608000)</f>
        <v>39463000</v>
      </c>
      <c r="H9" s="5">
        <f>(19483000+19893000)</f>
        <v>39376000</v>
      </c>
      <c r="I9" s="5">
        <f>(19383000+20627000)</f>
        <v>40010000</v>
      </c>
      <c r="J9" s="5">
        <v>39918000</v>
      </c>
      <c r="K9" s="5">
        <f>(23125000 + 21528000)</f>
        <v>44653000</v>
      </c>
    </row>
    <row r="10" spans="2:15" x14ac:dyDescent="0.2">
      <c r="B10" t="s">
        <v>5</v>
      </c>
      <c r="C10" s="5">
        <f t="shared" ref="C10:D10" si="1">C8+C9</f>
        <v>31098000</v>
      </c>
      <c r="D10" s="5">
        <f t="shared" si="1"/>
        <v>34853000</v>
      </c>
      <c r="E10" s="5">
        <f>E8+E9</f>
        <v>39200000</v>
      </c>
      <c r="F10" s="5">
        <f t="shared" ref="F10:O10" si="2">F8+F9</f>
        <v>0</v>
      </c>
      <c r="G10" s="5">
        <f t="shared" si="2"/>
        <v>64213000</v>
      </c>
      <c r="H10" s="5">
        <f t="shared" si="2"/>
        <v>66113000</v>
      </c>
      <c r="I10" s="5">
        <f t="shared" si="2"/>
        <v>67608000</v>
      </c>
      <c r="J10" s="5">
        <f t="shared" si="2"/>
        <v>71749000</v>
      </c>
      <c r="K10" s="5">
        <f t="shared" si="2"/>
        <v>72839000</v>
      </c>
      <c r="L10" s="5">
        <f t="shared" si="2"/>
        <v>0</v>
      </c>
      <c r="M10" s="5">
        <f t="shared" si="2"/>
        <v>0</v>
      </c>
      <c r="N10" s="5">
        <f t="shared" si="2"/>
        <v>0</v>
      </c>
      <c r="O10" s="5">
        <f t="shared" si="2"/>
        <v>0</v>
      </c>
    </row>
    <row r="11" spans="2:15" x14ac:dyDescent="0.2">
      <c r="B11" t="s">
        <v>6</v>
      </c>
      <c r="C11" s="5">
        <f>C7-C10</f>
        <v>-18267000</v>
      </c>
      <c r="D11" s="6">
        <f>D7-D10</f>
        <v>-24267000</v>
      </c>
      <c r="E11" s="6">
        <f>E7-E10</f>
        <v>-28311000</v>
      </c>
      <c r="F11" s="6">
        <f t="shared" ref="F11:O11" si="3">F7-F10</f>
        <v>0</v>
      </c>
      <c r="G11" s="5">
        <f>G7-G10</f>
        <v>-47714000</v>
      </c>
      <c r="H11" s="6">
        <f>H7-H10</f>
        <v>-42640000</v>
      </c>
      <c r="I11" s="6">
        <f>I7-I10</f>
        <v>-42632000</v>
      </c>
      <c r="J11" s="6">
        <f t="shared" si="3"/>
        <v>-42689000</v>
      </c>
      <c r="K11" s="6">
        <f t="shared" si="3"/>
        <v>-44692000</v>
      </c>
      <c r="L11" s="6">
        <f t="shared" si="3"/>
        <v>0</v>
      </c>
      <c r="M11" s="6">
        <f t="shared" si="3"/>
        <v>0</v>
      </c>
      <c r="N11" s="6">
        <f t="shared" si="3"/>
        <v>0</v>
      </c>
      <c r="O11" s="6">
        <f t="shared" si="3"/>
        <v>0</v>
      </c>
    </row>
    <row r="12" spans="2:15" x14ac:dyDescent="0.2">
      <c r="B12" t="s">
        <v>7</v>
      </c>
      <c r="C12" s="5">
        <v>-10730000</v>
      </c>
      <c r="D12" s="5">
        <v>4074000</v>
      </c>
      <c r="E12" s="5">
        <v>-12836000</v>
      </c>
      <c r="G12" s="5">
        <v>3668000</v>
      </c>
      <c r="H12" s="5">
        <v>3265000</v>
      </c>
      <c r="I12" s="5">
        <v>2835000</v>
      </c>
      <c r="J12" s="5"/>
      <c r="K12" s="5">
        <f>(4506000 + 5945000 + 104000)</f>
        <v>10555000</v>
      </c>
    </row>
    <row r="13" spans="2:15" x14ac:dyDescent="0.2">
      <c r="B13" t="s">
        <v>8</v>
      </c>
      <c r="C13" s="5">
        <f t="shared" ref="C13:D13" si="4">C11+C12</f>
        <v>-28997000</v>
      </c>
      <c r="D13" s="6">
        <f t="shared" si="4"/>
        <v>-20193000</v>
      </c>
      <c r="E13" s="6">
        <f>E11+E12</f>
        <v>-41147000</v>
      </c>
      <c r="F13" s="6">
        <f t="shared" ref="F13:O13" si="5">F11+F12</f>
        <v>0</v>
      </c>
      <c r="G13" s="5">
        <f t="shared" si="5"/>
        <v>-44046000</v>
      </c>
      <c r="H13" s="6">
        <f t="shared" si="5"/>
        <v>-39375000</v>
      </c>
      <c r="I13" s="6">
        <f t="shared" si="5"/>
        <v>-39797000</v>
      </c>
      <c r="J13" s="6"/>
      <c r="K13" s="6">
        <f t="shared" si="5"/>
        <v>-34137000</v>
      </c>
      <c r="L13" s="6">
        <f t="shared" si="5"/>
        <v>0</v>
      </c>
      <c r="M13" s="6">
        <f t="shared" si="5"/>
        <v>0</v>
      </c>
      <c r="N13" s="6">
        <f t="shared" si="5"/>
        <v>0</v>
      </c>
      <c r="O13" s="6">
        <f t="shared" si="5"/>
        <v>0</v>
      </c>
    </row>
    <row r="14" spans="2:15" x14ac:dyDescent="0.2">
      <c r="B14" t="s">
        <v>9</v>
      </c>
      <c r="C14" s="5">
        <v>-258000</v>
      </c>
      <c r="D14" s="5">
        <v>-170000</v>
      </c>
      <c r="E14" s="5">
        <v>-394000</v>
      </c>
      <c r="G14" s="5">
        <v>-314000</v>
      </c>
      <c r="H14" s="5">
        <v>-154000</v>
      </c>
      <c r="I14" s="5">
        <v>-439000</v>
      </c>
      <c r="J14" s="5"/>
      <c r="K14" s="5">
        <v>-307000</v>
      </c>
    </row>
    <row r="15" spans="2:15" x14ac:dyDescent="0.2">
      <c r="B15" s="7" t="s">
        <v>10</v>
      </c>
      <c r="C15" s="8">
        <f t="shared" ref="C15:D15" si="6">C13+C14</f>
        <v>-29255000</v>
      </c>
      <c r="D15" s="8">
        <f t="shared" si="6"/>
        <v>-20363000</v>
      </c>
      <c r="E15" s="8">
        <f>E13+E14</f>
        <v>-41541000</v>
      </c>
      <c r="F15" s="8">
        <f t="shared" ref="F15:O15" si="7">F13+F14</f>
        <v>0</v>
      </c>
      <c r="G15" s="8">
        <f t="shared" si="7"/>
        <v>-44360000</v>
      </c>
      <c r="H15" s="8">
        <f t="shared" si="7"/>
        <v>-39529000</v>
      </c>
      <c r="I15" s="8">
        <f t="shared" si="7"/>
        <v>-40236000</v>
      </c>
      <c r="J15" s="8">
        <v>-37841000</v>
      </c>
      <c r="K15" s="8">
        <f t="shared" si="7"/>
        <v>-34444000</v>
      </c>
      <c r="L15" s="8">
        <f t="shared" si="7"/>
        <v>0</v>
      </c>
      <c r="M15" s="8">
        <f t="shared" si="7"/>
        <v>0</v>
      </c>
      <c r="N15" s="8">
        <f t="shared" si="7"/>
        <v>0</v>
      </c>
      <c r="O15" s="8">
        <f t="shared" si="7"/>
        <v>0</v>
      </c>
    </row>
    <row r="16" spans="2:15" x14ac:dyDescent="0.2">
      <c r="B16" t="s">
        <v>11</v>
      </c>
    </row>
    <row r="17" spans="2:40" x14ac:dyDescent="0.2">
      <c r="B17" t="s">
        <v>12</v>
      </c>
    </row>
    <row r="19" spans="2:40" x14ac:dyDescent="0.2">
      <c r="C19" s="2" t="s">
        <v>27</v>
      </c>
      <c r="D19" s="2" t="s">
        <v>28</v>
      </c>
      <c r="E19" s="2" t="s">
        <v>29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35</v>
      </c>
      <c r="L19" s="2" t="s">
        <v>36</v>
      </c>
      <c r="M19" s="2" t="s">
        <v>37</v>
      </c>
      <c r="N19" s="2" t="s">
        <v>38</v>
      </c>
      <c r="O19" s="2" t="s">
        <v>40</v>
      </c>
      <c r="P19" s="2" t="s">
        <v>39</v>
      </c>
      <c r="Q19" s="2" t="s">
        <v>41</v>
      </c>
      <c r="R19" s="2" t="s">
        <v>42</v>
      </c>
      <c r="S19" s="2" t="s">
        <v>43</v>
      </c>
      <c r="T19" s="2" t="s">
        <v>44</v>
      </c>
      <c r="U19" s="2" t="s">
        <v>45</v>
      </c>
      <c r="V19" s="2" t="s">
        <v>46</v>
      </c>
    </row>
    <row r="20" spans="2:40" x14ac:dyDescent="0.2">
      <c r="B20" s="2" t="s">
        <v>1</v>
      </c>
      <c r="C20" s="5">
        <v>113168000</v>
      </c>
      <c r="D20" s="5">
        <v>131209000</v>
      </c>
      <c r="E20" s="5">
        <v>191256000</v>
      </c>
      <c r="F20" s="5">
        <v>231000000</v>
      </c>
      <c r="G20" s="5">
        <v>300000000</v>
      </c>
      <c r="H20" s="5">
        <f>G20*H34+G20</f>
        <v>360000000</v>
      </c>
      <c r="I20" s="5">
        <f t="shared" ref="I20:V20" si="8">H20*I34+H20</f>
        <v>432000000</v>
      </c>
      <c r="J20" s="5">
        <f t="shared" si="8"/>
        <v>518400000</v>
      </c>
      <c r="K20" s="5">
        <f t="shared" si="8"/>
        <v>622080000</v>
      </c>
      <c r="L20" s="5">
        <f t="shared" si="8"/>
        <v>684288000</v>
      </c>
      <c r="M20" s="5">
        <f t="shared" si="8"/>
        <v>752716800</v>
      </c>
      <c r="N20" s="5">
        <f t="shared" si="8"/>
        <v>827988480</v>
      </c>
      <c r="O20" s="5">
        <f t="shared" si="8"/>
        <v>910787328</v>
      </c>
      <c r="P20" s="5">
        <f t="shared" si="8"/>
        <v>1001866060.8</v>
      </c>
      <c r="Q20" s="5">
        <f t="shared" si="8"/>
        <v>1102052666.8799999</v>
      </c>
      <c r="R20" s="5">
        <f t="shared" si="8"/>
        <v>1212257933.5679998</v>
      </c>
      <c r="S20" s="5">
        <f t="shared" si="8"/>
        <v>1333483726.9247999</v>
      </c>
      <c r="T20" s="5">
        <f t="shared" si="8"/>
        <v>1466832099.61728</v>
      </c>
      <c r="U20" s="5">
        <f t="shared" si="8"/>
        <v>1613515309.5790081</v>
      </c>
      <c r="V20" s="5">
        <f t="shared" si="8"/>
        <v>1774866840.5369089</v>
      </c>
    </row>
    <row r="21" spans="2:40" x14ac:dyDescent="0.2">
      <c r="B21" t="s">
        <v>0</v>
      </c>
      <c r="C21" s="5">
        <v>87383000</v>
      </c>
      <c r="D21" s="5">
        <v>82987000</v>
      </c>
      <c r="E21" s="5">
        <v>97248000</v>
      </c>
      <c r="F21" s="6">
        <f>F20-F22</f>
        <v>115500000</v>
      </c>
      <c r="G21" s="6">
        <f t="shared" ref="G21:V21" si="9">G20-G22</f>
        <v>120000000</v>
      </c>
      <c r="H21" s="6">
        <f t="shared" si="9"/>
        <v>108000000.00000003</v>
      </c>
      <c r="I21" s="6">
        <f t="shared" si="9"/>
        <v>129600000</v>
      </c>
      <c r="J21" s="6">
        <f t="shared" si="9"/>
        <v>155520000</v>
      </c>
      <c r="K21" s="6">
        <f t="shared" si="9"/>
        <v>186624000</v>
      </c>
      <c r="L21" s="6">
        <f t="shared" si="9"/>
        <v>205286400.00000006</v>
      </c>
      <c r="M21" s="6">
        <f t="shared" si="9"/>
        <v>225815040.00000006</v>
      </c>
      <c r="N21" s="6">
        <f t="shared" si="9"/>
        <v>248396544</v>
      </c>
      <c r="O21" s="6">
        <f t="shared" si="9"/>
        <v>273236198.4000001</v>
      </c>
      <c r="P21" s="6">
        <f t="shared" si="9"/>
        <v>300559818.24000001</v>
      </c>
      <c r="Q21" s="6">
        <f t="shared" si="9"/>
        <v>330615800.06400001</v>
      </c>
      <c r="R21" s="6">
        <f t="shared" si="9"/>
        <v>363677380.0704</v>
      </c>
      <c r="S21" s="6">
        <f t="shared" si="9"/>
        <v>400045118.07744002</v>
      </c>
      <c r="T21" s="6">
        <f t="shared" si="9"/>
        <v>440049629.88518405</v>
      </c>
      <c r="U21" s="6">
        <f t="shared" si="9"/>
        <v>484054592.87370253</v>
      </c>
      <c r="V21" s="6">
        <f t="shared" si="9"/>
        <v>532460052.16107273</v>
      </c>
    </row>
    <row r="22" spans="2:40" x14ac:dyDescent="0.2">
      <c r="B22" t="s">
        <v>2</v>
      </c>
      <c r="C22" s="5">
        <f>C20-C21</f>
        <v>25785000</v>
      </c>
      <c r="D22" s="5">
        <f t="shared" ref="D22:E22" si="10">D20-D21</f>
        <v>48222000</v>
      </c>
      <c r="E22" s="5">
        <f t="shared" si="10"/>
        <v>94008000</v>
      </c>
      <c r="F22" s="5">
        <f>F20*F35</f>
        <v>115500000</v>
      </c>
      <c r="G22" s="5">
        <f t="shared" ref="G22:V22" si="11">G20*G35</f>
        <v>180000000</v>
      </c>
      <c r="H22" s="5">
        <f t="shared" si="11"/>
        <v>251999999.99999997</v>
      </c>
      <c r="I22" s="5">
        <f t="shared" si="11"/>
        <v>302400000</v>
      </c>
      <c r="J22" s="5">
        <f t="shared" si="11"/>
        <v>362880000</v>
      </c>
      <c r="K22" s="5">
        <f t="shared" si="11"/>
        <v>435456000</v>
      </c>
      <c r="L22" s="5">
        <f t="shared" si="11"/>
        <v>479001599.99999994</v>
      </c>
      <c r="M22" s="5">
        <f t="shared" si="11"/>
        <v>526901759.99999994</v>
      </c>
      <c r="N22" s="5">
        <f t="shared" si="11"/>
        <v>579591936</v>
      </c>
      <c r="O22" s="5">
        <f t="shared" si="11"/>
        <v>637551129.5999999</v>
      </c>
      <c r="P22" s="5">
        <f t="shared" si="11"/>
        <v>701306242.55999994</v>
      </c>
      <c r="Q22" s="5">
        <f t="shared" si="11"/>
        <v>771436866.81599987</v>
      </c>
      <c r="R22" s="5">
        <f t="shared" si="11"/>
        <v>848580553.49759984</v>
      </c>
      <c r="S22" s="5">
        <f t="shared" si="11"/>
        <v>933438608.8473599</v>
      </c>
      <c r="T22" s="5">
        <f t="shared" si="11"/>
        <v>1026782469.732096</v>
      </c>
      <c r="U22" s="5">
        <f t="shared" si="11"/>
        <v>1129460716.7053056</v>
      </c>
      <c r="V22" s="5">
        <f t="shared" si="11"/>
        <v>1242406788.3758361</v>
      </c>
    </row>
    <row r="23" spans="2:40" x14ac:dyDescent="0.2">
      <c r="B23" t="s">
        <v>13</v>
      </c>
      <c r="C23" s="5">
        <v>43825000</v>
      </c>
      <c r="D23" s="5">
        <v>66684000</v>
      </c>
      <c r="E23" s="5">
        <v>110916000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2:40" x14ac:dyDescent="0.2">
      <c r="B24" t="s">
        <v>14</v>
      </c>
      <c r="C24" s="5">
        <f>(37268000+32134000)</f>
        <v>69402000</v>
      </c>
      <c r="D24" s="5">
        <f>(52917000+56672000)</f>
        <v>109589000</v>
      </c>
      <c r="E24" s="5">
        <f>(78020000+80747000)</f>
        <v>158767000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2:40" x14ac:dyDescent="0.2">
      <c r="B25" t="s">
        <v>5</v>
      </c>
      <c r="C25" s="5">
        <f>C23+C24</f>
        <v>113227000</v>
      </c>
      <c r="D25" s="5">
        <f t="shared" ref="D25:V25" si="12">D23+D24</f>
        <v>176273000</v>
      </c>
      <c r="E25" s="5">
        <f t="shared" si="12"/>
        <v>269683000</v>
      </c>
      <c r="F25" s="5">
        <f>E25*F37+E25</f>
        <v>310135450</v>
      </c>
      <c r="G25" s="5">
        <f t="shared" ref="G25:V25" si="13">F25*G37+F25</f>
        <v>341148995</v>
      </c>
      <c r="H25" s="5">
        <f t="shared" si="13"/>
        <v>351383464.85000002</v>
      </c>
      <c r="I25" s="5">
        <f t="shared" si="13"/>
        <v>361924968.79550004</v>
      </c>
      <c r="J25" s="5">
        <f t="shared" si="13"/>
        <v>372782717.85936505</v>
      </c>
      <c r="K25" s="5">
        <f t="shared" si="13"/>
        <v>383966199.39514601</v>
      </c>
      <c r="L25" s="5">
        <f t="shared" si="13"/>
        <v>395485185.37700039</v>
      </c>
      <c r="M25" s="5">
        <f t="shared" si="13"/>
        <v>407349740.93831038</v>
      </c>
      <c r="N25" s="5">
        <f t="shared" si="13"/>
        <v>419570233.16645968</v>
      </c>
      <c r="O25" s="5">
        <f t="shared" si="13"/>
        <v>432157340.16145349</v>
      </c>
      <c r="P25" s="5">
        <f t="shared" si="13"/>
        <v>445122060.36629707</v>
      </c>
      <c r="Q25" s="5">
        <f t="shared" si="13"/>
        <v>458475722.17728597</v>
      </c>
      <c r="R25" s="5">
        <f t="shared" si="13"/>
        <v>472229993.84260452</v>
      </c>
      <c r="S25" s="5">
        <f t="shared" si="13"/>
        <v>486396893.65788263</v>
      </c>
      <c r="T25" s="5">
        <f t="shared" si="13"/>
        <v>500988800.46761912</v>
      </c>
      <c r="U25" s="5">
        <f t="shared" si="13"/>
        <v>516018464.48164767</v>
      </c>
      <c r="V25" s="5">
        <f t="shared" si="13"/>
        <v>531499018.4160971</v>
      </c>
    </row>
    <row r="26" spans="2:40" x14ac:dyDescent="0.2">
      <c r="B26" t="s">
        <v>6</v>
      </c>
      <c r="C26" s="5">
        <f t="shared" ref="C26:J26" si="14">C22-C25</f>
        <v>-87442000</v>
      </c>
      <c r="D26" s="5">
        <f t="shared" si="14"/>
        <v>-128051000</v>
      </c>
      <c r="E26" s="5">
        <f t="shared" si="14"/>
        <v>-175675000</v>
      </c>
      <c r="F26" s="5">
        <f t="shared" si="14"/>
        <v>-194635450</v>
      </c>
      <c r="G26" s="5">
        <f t="shared" si="14"/>
        <v>-161148995</v>
      </c>
      <c r="H26" s="5">
        <f t="shared" si="14"/>
        <v>-99383464.850000054</v>
      </c>
      <c r="I26" s="5">
        <f t="shared" si="14"/>
        <v>-59524968.79550004</v>
      </c>
      <c r="J26" s="5">
        <f t="shared" si="14"/>
        <v>-9902717.859365046</v>
      </c>
      <c r="K26" s="5">
        <f t="shared" ref="K26:V26" si="15">K22-K25</f>
        <v>51489800.604853988</v>
      </c>
      <c r="L26" s="5">
        <f t="shared" si="15"/>
        <v>83516414.622999549</v>
      </c>
      <c r="M26" s="5">
        <f t="shared" si="15"/>
        <v>119552019.06168956</v>
      </c>
      <c r="N26" s="5">
        <f t="shared" si="15"/>
        <v>160021702.83354032</v>
      </c>
      <c r="O26" s="5">
        <f t="shared" si="15"/>
        <v>205393789.43854642</v>
      </c>
      <c r="P26" s="5">
        <f t="shared" si="15"/>
        <v>256184182.19370288</v>
      </c>
      <c r="Q26" s="5">
        <f t="shared" si="15"/>
        <v>312961144.6387139</v>
      </c>
      <c r="R26" s="5">
        <f t="shared" si="15"/>
        <v>376350559.65499532</v>
      </c>
      <c r="S26" s="5">
        <f t="shared" si="15"/>
        <v>447041715.18947726</v>
      </c>
      <c r="T26" s="5">
        <f t="shared" si="15"/>
        <v>525793669.26447684</v>
      </c>
      <c r="U26" s="5">
        <f t="shared" si="15"/>
        <v>613442252.22365785</v>
      </c>
      <c r="V26" s="5">
        <f t="shared" si="15"/>
        <v>710907769.95973897</v>
      </c>
    </row>
    <row r="27" spans="2:40" x14ac:dyDescent="0.2">
      <c r="B27" t="s">
        <v>7</v>
      </c>
      <c r="C27" s="5">
        <v>-38588000</v>
      </c>
      <c r="D27" s="5">
        <v>-6963000</v>
      </c>
      <c r="E27" s="5">
        <v>14556000</v>
      </c>
    </row>
    <row r="28" spans="2:40" x14ac:dyDescent="0.2">
      <c r="B28" t="s">
        <v>15</v>
      </c>
      <c r="C28" s="5">
        <f>C26+C27</f>
        <v>-126030000</v>
      </c>
      <c r="D28" s="5">
        <f>D26+D27</f>
        <v>-135014000</v>
      </c>
      <c r="E28" s="5">
        <f t="shared" ref="E28:V28" si="16">E26+E27</f>
        <v>-161119000</v>
      </c>
      <c r="F28" s="5">
        <f t="shared" si="16"/>
        <v>-194635450</v>
      </c>
      <c r="G28" s="5">
        <f t="shared" si="16"/>
        <v>-161148995</v>
      </c>
      <c r="H28" s="5">
        <f t="shared" si="16"/>
        <v>-99383464.850000054</v>
      </c>
      <c r="I28" s="5">
        <f t="shared" si="16"/>
        <v>-59524968.79550004</v>
      </c>
      <c r="J28" s="5">
        <f t="shared" si="16"/>
        <v>-9902717.859365046</v>
      </c>
      <c r="K28" s="5">
        <f t="shared" si="16"/>
        <v>51489800.604853988</v>
      </c>
      <c r="L28" s="5">
        <f t="shared" si="16"/>
        <v>83516414.622999549</v>
      </c>
      <c r="M28" s="5">
        <f t="shared" si="16"/>
        <v>119552019.06168956</v>
      </c>
      <c r="N28" s="5">
        <f t="shared" si="16"/>
        <v>160021702.83354032</v>
      </c>
      <c r="O28" s="5">
        <f t="shared" si="16"/>
        <v>205393789.43854642</v>
      </c>
      <c r="P28" s="5">
        <f t="shared" si="16"/>
        <v>256184182.19370288</v>
      </c>
      <c r="Q28" s="5">
        <f t="shared" si="16"/>
        <v>312961144.6387139</v>
      </c>
      <c r="R28" s="5">
        <f t="shared" si="16"/>
        <v>376350559.65499532</v>
      </c>
      <c r="S28" s="5">
        <f t="shared" si="16"/>
        <v>447041715.18947726</v>
      </c>
      <c r="T28" s="5">
        <f t="shared" si="16"/>
        <v>525793669.26447684</v>
      </c>
      <c r="U28" s="5">
        <f t="shared" si="16"/>
        <v>613442252.22365785</v>
      </c>
      <c r="V28" s="5">
        <f t="shared" si="16"/>
        <v>710907769.95973897</v>
      </c>
    </row>
    <row r="29" spans="2:40" x14ac:dyDescent="0.2">
      <c r="B29" t="s">
        <v>9</v>
      </c>
      <c r="C29" s="5">
        <v>-1073000</v>
      </c>
      <c r="D29" s="5">
        <v>-2110000</v>
      </c>
      <c r="E29" s="5">
        <v>-847000</v>
      </c>
      <c r="J29" s="5"/>
      <c r="K29" s="5">
        <f>-(K28*C36)</f>
        <v>-10297960.120970799</v>
      </c>
      <c r="L29" s="5">
        <f>-(L28*C36)</f>
        <v>-16703282.92459991</v>
      </c>
      <c r="M29" s="5">
        <f>-(M28*C36)</f>
        <v>-23910403.812337913</v>
      </c>
      <c r="N29" s="5">
        <f>-(N28*C36)</f>
        <v>-32004340.566708066</v>
      </c>
      <c r="O29" s="5">
        <f>-(O28*C36)</f>
        <v>-41078757.88770929</v>
      </c>
      <c r="P29" s="5">
        <f>-(P28*C36)</f>
        <v>-51236836.438740581</v>
      </c>
      <c r="Q29" s="5">
        <f>-(Q28*C36)</f>
        <v>-62592228.927742779</v>
      </c>
      <c r="R29" s="5">
        <f>-(R28*C36)</f>
        <v>-75270111.93099907</v>
      </c>
      <c r="S29" s="5">
        <f>-(S28*C36)</f>
        <v>-89408343.037895456</v>
      </c>
      <c r="T29" s="5">
        <f>-(T28*C36)</f>
        <v>-105158733.85289538</v>
      </c>
      <c r="U29" s="5">
        <f>-(U28*C36)</f>
        <v>-122688450.44473158</v>
      </c>
      <c r="V29" s="5">
        <f>-(V28*C36)</f>
        <v>-142181553.9919478</v>
      </c>
    </row>
    <row r="30" spans="2:40" x14ac:dyDescent="0.2">
      <c r="B30" s="9" t="s">
        <v>10</v>
      </c>
      <c r="C30" s="10">
        <f>C28+C29</f>
        <v>-127103000</v>
      </c>
      <c r="D30" s="10">
        <f t="shared" ref="D30:V30" si="17">D28+D29</f>
        <v>-137124000</v>
      </c>
      <c r="E30" s="10">
        <f t="shared" si="17"/>
        <v>-161966000</v>
      </c>
      <c r="F30" s="10">
        <f t="shared" si="17"/>
        <v>-194635450</v>
      </c>
      <c r="G30" s="10">
        <f t="shared" si="17"/>
        <v>-161148995</v>
      </c>
      <c r="H30" s="10">
        <f t="shared" si="17"/>
        <v>-99383464.850000054</v>
      </c>
      <c r="I30" s="10">
        <f t="shared" si="17"/>
        <v>-59524968.79550004</v>
      </c>
      <c r="J30" s="10">
        <f t="shared" si="17"/>
        <v>-9902717.859365046</v>
      </c>
      <c r="K30" s="10">
        <f t="shared" si="17"/>
        <v>41191840.483883187</v>
      </c>
      <c r="L30" s="10">
        <f t="shared" si="17"/>
        <v>66813131.698399641</v>
      </c>
      <c r="M30" s="10">
        <f t="shared" si="17"/>
        <v>95641615.24935165</v>
      </c>
      <c r="N30" s="10">
        <f t="shared" si="17"/>
        <v>128017362.26683226</v>
      </c>
      <c r="O30" s="10">
        <f t="shared" si="17"/>
        <v>164315031.55083713</v>
      </c>
      <c r="P30" s="10">
        <f t="shared" si="17"/>
        <v>204947345.7549623</v>
      </c>
      <c r="Q30" s="10">
        <f t="shared" si="17"/>
        <v>250368915.71097112</v>
      </c>
      <c r="R30" s="10">
        <f t="shared" si="17"/>
        <v>301080447.72399628</v>
      </c>
      <c r="S30" s="10">
        <f t="shared" si="17"/>
        <v>357633372.15158182</v>
      </c>
      <c r="T30" s="10">
        <f t="shared" si="17"/>
        <v>420634935.41158146</v>
      </c>
      <c r="U30" s="10">
        <f t="shared" si="17"/>
        <v>490753801.77892625</v>
      </c>
      <c r="V30" s="10">
        <f t="shared" si="17"/>
        <v>568726215.9677912</v>
      </c>
      <c r="W30" s="6">
        <f>V30*I43+V30</f>
        <v>568726215.9677912</v>
      </c>
      <c r="X30" s="6">
        <f>W30*I43+W30</f>
        <v>568726215.9677912</v>
      </c>
      <c r="Y30" s="6">
        <f>X30*I43+X30</f>
        <v>568726215.9677912</v>
      </c>
      <c r="Z30" s="6">
        <f>Y30*I43+Y30</f>
        <v>568726215.9677912</v>
      </c>
      <c r="AA30" s="6">
        <f>Z30*I43+Z30</f>
        <v>568726215.9677912</v>
      </c>
      <c r="AB30" s="6">
        <f>AA30*I43+AA30</f>
        <v>568726215.9677912</v>
      </c>
      <c r="AC30" s="6">
        <f>AB30*I43+AB30</f>
        <v>568726215.9677912</v>
      </c>
      <c r="AD30" s="6">
        <f>AC30*I43+AC30</f>
        <v>568726215.9677912</v>
      </c>
      <c r="AE30" s="6">
        <f>AD30*I43+AD30</f>
        <v>568726215.9677912</v>
      </c>
      <c r="AF30" s="6">
        <f>AE30*I43+AE30</f>
        <v>568726215.9677912</v>
      </c>
      <c r="AG30" s="6">
        <f>AF30*I43+AF30</f>
        <v>568726215.9677912</v>
      </c>
      <c r="AH30" s="6">
        <f>AG30*I43+AG30</f>
        <v>568726215.9677912</v>
      </c>
      <c r="AI30" s="6">
        <f>AH30*I43+AH30</f>
        <v>568726215.9677912</v>
      </c>
      <c r="AJ30" s="6">
        <f>AI30*I43+AI30</f>
        <v>568726215.9677912</v>
      </c>
      <c r="AK30" s="6">
        <f>AJ30*I43+AJ30</f>
        <v>568726215.9677912</v>
      </c>
      <c r="AL30" s="6">
        <f>AK30*I43+AK30</f>
        <v>568726215.9677912</v>
      </c>
      <c r="AM30" s="6">
        <f>AL30*I43+AL30</f>
        <v>568726215.9677912</v>
      </c>
      <c r="AN30" s="6">
        <f>AM30*I43+AM30</f>
        <v>568726215.9677912</v>
      </c>
    </row>
    <row r="31" spans="2:40" x14ac:dyDescent="0.2">
      <c r="B31" t="s">
        <v>11</v>
      </c>
      <c r="E31" s="5">
        <f>E30/E32</f>
        <v>-0.59965198074787118</v>
      </c>
      <c r="F31" s="5">
        <f t="shared" ref="F31:V31" si="18">F30/F32</f>
        <v>-0.70520090579710148</v>
      </c>
      <c r="G31" s="5">
        <f t="shared" si="18"/>
        <v>-0.57553212499999995</v>
      </c>
      <c r="H31" s="5">
        <f t="shared" si="18"/>
        <v>-0.35494094589285735</v>
      </c>
      <c r="I31" s="5">
        <f t="shared" si="18"/>
        <v>-0.21258917426964299</v>
      </c>
      <c r="J31" s="5">
        <f t="shared" si="18"/>
        <v>-3.5366849497732306E-2</v>
      </c>
      <c r="K31" s="5">
        <f t="shared" si="18"/>
        <v>0.14711371601386852</v>
      </c>
      <c r="L31" s="5">
        <f t="shared" si="18"/>
        <v>0.23861832749428444</v>
      </c>
      <c r="M31" s="5">
        <f t="shared" si="18"/>
        <v>0.34157719731911301</v>
      </c>
      <c r="N31" s="5">
        <f t="shared" si="18"/>
        <v>0.45720486523868664</v>
      </c>
      <c r="O31" s="5">
        <f t="shared" si="18"/>
        <v>0.58683939839584687</v>
      </c>
      <c r="P31" s="5">
        <f t="shared" si="18"/>
        <v>0.73195480626772247</v>
      </c>
      <c r="Q31" s="5">
        <f t="shared" si="18"/>
        <v>0.89417469896775403</v>
      </c>
      <c r="R31" s="5">
        <f t="shared" si="18"/>
        <v>1.0752873132999867</v>
      </c>
      <c r="S31" s="5">
        <f t="shared" si="18"/>
        <v>1.2772620433985065</v>
      </c>
      <c r="T31" s="5">
        <f t="shared" si="18"/>
        <v>1.5022676264699337</v>
      </c>
      <c r="U31" s="5">
        <f t="shared" si="18"/>
        <v>1.7526921492104508</v>
      </c>
      <c r="V31" s="5">
        <f t="shared" si="18"/>
        <v>2.0311650570278257</v>
      </c>
    </row>
    <row r="32" spans="2:40" x14ac:dyDescent="0.2">
      <c r="B32" t="s">
        <v>12</v>
      </c>
      <c r="E32" s="13">
        <v>270100000</v>
      </c>
      <c r="F32" s="13">
        <v>276000000</v>
      </c>
      <c r="G32" s="13">
        <v>280000000</v>
      </c>
      <c r="H32" s="13">
        <v>280000000</v>
      </c>
      <c r="I32" s="13">
        <v>280000000</v>
      </c>
      <c r="J32" s="13">
        <v>280000000</v>
      </c>
      <c r="K32" s="13">
        <v>280000000</v>
      </c>
      <c r="L32" s="13">
        <v>280000000</v>
      </c>
      <c r="M32" s="13">
        <v>280000000</v>
      </c>
      <c r="N32" s="13">
        <v>280000000</v>
      </c>
      <c r="O32" s="13">
        <v>280000000</v>
      </c>
      <c r="P32" s="13">
        <v>280000000</v>
      </c>
      <c r="Q32" s="13">
        <v>280000000</v>
      </c>
      <c r="R32" s="13">
        <v>280000000</v>
      </c>
      <c r="S32" s="13">
        <v>280000000</v>
      </c>
      <c r="T32" s="13">
        <v>280000000</v>
      </c>
      <c r="U32" s="13">
        <v>280000000</v>
      </c>
      <c r="V32" s="13">
        <v>280000000</v>
      </c>
    </row>
    <row r="34" spans="2:22" x14ac:dyDescent="0.2">
      <c r="B34" t="s">
        <v>16</v>
      </c>
      <c r="D34" s="17">
        <f>D20/C20-1</f>
        <v>0.15941785663791874</v>
      </c>
      <c r="E34" s="17">
        <f t="shared" ref="E34:G34" si="19">E20/D20-1</f>
        <v>0.4576439116219162</v>
      </c>
      <c r="F34" s="17">
        <f t="shared" si="19"/>
        <v>0.20780524532563693</v>
      </c>
      <c r="G34" s="17">
        <f t="shared" si="19"/>
        <v>0.29870129870129869</v>
      </c>
      <c r="H34" s="17">
        <v>0.2</v>
      </c>
      <c r="I34" s="17">
        <v>0.2</v>
      </c>
      <c r="J34" s="17">
        <v>0.2</v>
      </c>
      <c r="K34" s="17">
        <v>0.2</v>
      </c>
      <c r="L34" s="17">
        <v>0.1</v>
      </c>
      <c r="M34" s="17">
        <v>0.1</v>
      </c>
      <c r="N34" s="17">
        <v>0.1</v>
      </c>
      <c r="O34" s="17">
        <v>0.1</v>
      </c>
      <c r="P34" s="17">
        <v>0.1</v>
      </c>
      <c r="Q34" s="17">
        <v>0.1</v>
      </c>
      <c r="R34" s="17">
        <v>0.1</v>
      </c>
      <c r="S34" s="17">
        <v>0.1</v>
      </c>
      <c r="T34" s="17">
        <v>0.1</v>
      </c>
      <c r="U34" s="17">
        <v>0.1</v>
      </c>
      <c r="V34" s="17">
        <v>0.1</v>
      </c>
    </row>
    <row r="35" spans="2:22" x14ac:dyDescent="0.2">
      <c r="B35" t="s">
        <v>17</v>
      </c>
      <c r="C35" s="17">
        <f>C22/C20</f>
        <v>0.22784709458504171</v>
      </c>
      <c r="D35" s="17">
        <f t="shared" ref="D35:E35" si="20">D22/D20</f>
        <v>0.36752052069598884</v>
      </c>
      <c r="E35" s="17">
        <f t="shared" si="20"/>
        <v>0.49152967750031373</v>
      </c>
      <c r="F35" s="17">
        <v>0.5</v>
      </c>
      <c r="G35" s="17">
        <v>0.6</v>
      </c>
      <c r="H35" s="17">
        <v>0.7</v>
      </c>
      <c r="I35" s="17">
        <v>0.7</v>
      </c>
      <c r="J35" s="17">
        <v>0.7</v>
      </c>
      <c r="K35" s="17">
        <v>0.7</v>
      </c>
      <c r="L35" s="1">
        <v>0.7</v>
      </c>
      <c r="M35" s="1">
        <v>0.7</v>
      </c>
      <c r="N35" s="1">
        <v>0.7</v>
      </c>
      <c r="O35" s="1">
        <v>0.7</v>
      </c>
      <c r="P35" s="1">
        <v>0.7</v>
      </c>
      <c r="Q35" s="1">
        <v>0.7</v>
      </c>
      <c r="R35" s="1">
        <v>0.7</v>
      </c>
      <c r="S35" s="1">
        <v>0.7</v>
      </c>
      <c r="T35" s="1">
        <v>0.7</v>
      </c>
      <c r="U35" s="1">
        <v>0.7</v>
      </c>
      <c r="V35" s="1">
        <v>0.7</v>
      </c>
    </row>
    <row r="36" spans="2:22" x14ac:dyDescent="0.2">
      <c r="B36" s="15" t="s">
        <v>18</v>
      </c>
      <c r="C36" s="16">
        <v>0.2</v>
      </c>
    </row>
    <row r="37" spans="2:22" x14ac:dyDescent="0.2">
      <c r="B37" t="s">
        <v>58</v>
      </c>
      <c r="D37" s="17">
        <f>D25/C25-1</f>
        <v>0.55681065470250024</v>
      </c>
      <c r="E37" s="17">
        <f t="shared" ref="E37:F37" si="21">E25/D25-1</f>
        <v>0.52991666335740595</v>
      </c>
      <c r="F37" s="17">
        <v>0.15</v>
      </c>
      <c r="G37" s="1">
        <v>0.1</v>
      </c>
      <c r="H37" s="1">
        <v>0.03</v>
      </c>
      <c r="I37" s="1">
        <v>0.03</v>
      </c>
      <c r="J37" s="1">
        <v>0.03</v>
      </c>
      <c r="K37" s="1">
        <v>0.03</v>
      </c>
      <c r="L37" s="1">
        <v>0.03</v>
      </c>
      <c r="M37" s="1">
        <v>0.03</v>
      </c>
      <c r="N37" s="1">
        <v>0.03</v>
      </c>
      <c r="O37" s="1">
        <v>0.03</v>
      </c>
      <c r="P37" s="1">
        <v>0.03</v>
      </c>
      <c r="Q37" s="1">
        <v>0.03</v>
      </c>
      <c r="R37" s="1">
        <v>0.03</v>
      </c>
      <c r="S37" s="1">
        <v>0.03</v>
      </c>
      <c r="T37" s="1">
        <v>0.03</v>
      </c>
      <c r="U37" s="1">
        <v>0.03</v>
      </c>
      <c r="V37" s="1">
        <v>0.03</v>
      </c>
    </row>
    <row r="39" spans="2:22" x14ac:dyDescent="0.2">
      <c r="B39" s="3" t="s">
        <v>19</v>
      </c>
      <c r="C39" s="14">
        <v>0.08</v>
      </c>
      <c r="E39" s="4" t="s">
        <v>22</v>
      </c>
      <c r="F39" s="11">
        <v>3.22</v>
      </c>
      <c r="H39" s="23"/>
      <c r="I39" s="24"/>
      <c r="J39" s="24"/>
    </row>
    <row r="40" spans="2:22" x14ac:dyDescent="0.2">
      <c r="B40" s="3" t="s">
        <v>20</v>
      </c>
      <c r="C40" s="21">
        <f>NPV(C39,E30:AN30)</f>
        <v>1793450711.7209437</v>
      </c>
      <c r="E40" s="4" t="s">
        <v>12</v>
      </c>
      <c r="F40" s="12">
        <v>276000000</v>
      </c>
      <c r="H40" s="23"/>
      <c r="I40" s="24"/>
      <c r="J40" s="24"/>
    </row>
    <row r="41" spans="2:22" x14ac:dyDescent="0.2">
      <c r="B41" s="3" t="s">
        <v>21</v>
      </c>
      <c r="C41" s="20">
        <f>C40/F40</f>
        <v>6.4980098250758829</v>
      </c>
      <c r="E41" s="4" t="s">
        <v>23</v>
      </c>
      <c r="F41" s="11">
        <f>F40*F39</f>
        <v>888720000</v>
      </c>
      <c r="H41" s="23"/>
      <c r="I41" s="24"/>
      <c r="J41" s="24"/>
    </row>
    <row r="42" spans="2:22" x14ac:dyDescent="0.2">
      <c r="E42" s="4" t="s">
        <v>24</v>
      </c>
      <c r="F42" s="11">
        <v>409000000</v>
      </c>
    </row>
    <row r="43" spans="2:22" x14ac:dyDescent="0.2">
      <c r="E43" s="4" t="s">
        <v>25</v>
      </c>
      <c r="F43" s="11">
        <v>120000000</v>
      </c>
      <c r="H43" s="18" t="s">
        <v>57</v>
      </c>
      <c r="I43" s="19">
        <v>0</v>
      </c>
    </row>
    <row r="44" spans="2:22" x14ac:dyDescent="0.2">
      <c r="E44" s="4" t="s">
        <v>26</v>
      </c>
      <c r="F44" s="4"/>
    </row>
  </sheetData>
  <pageMargins left="0.7" right="0.7" top="0.75" bottom="0.75" header="0.3" footer="0.3"/>
  <ignoredErrors>
    <ignoredError sqref="O29 K2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mccall</dc:creator>
  <cp:lastModifiedBy>suzanne mccall</cp:lastModifiedBy>
  <dcterms:created xsi:type="dcterms:W3CDTF">2023-03-20T18:16:21Z</dcterms:created>
  <dcterms:modified xsi:type="dcterms:W3CDTF">2023-07-02T02:11:29Z</dcterms:modified>
</cp:coreProperties>
</file>