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CHWY/"/>
    </mc:Choice>
  </mc:AlternateContent>
  <xr:revisionPtr revIDLastSave="0" documentId="13_ncr:1_{C4B16601-8580-DB4F-B24C-B00A6EDECB74}" xr6:coauthVersionLast="45" xr6:coauthVersionMax="45" xr10:uidLastSave="{00000000-0000-0000-0000-000000000000}"/>
  <bookViews>
    <workbookView xWindow="980" yWindow="500" windowWidth="34620" windowHeight="19020" xr2:uid="{D7E2F799-D26A-8A46-963B-F3FDC572ABC6}"/>
  </bookViews>
  <sheets>
    <sheet name="mod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1" i="1" l="1"/>
  <c r="C42" i="1" s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L29" i="1"/>
  <c r="K29" i="1"/>
  <c r="J29" i="1"/>
  <c r="I29" i="1"/>
  <c r="L31" i="1"/>
  <c r="K31" i="1"/>
  <c r="J31" i="1"/>
  <c r="I31" i="1"/>
  <c r="I25" i="1"/>
  <c r="I26" i="1" s="1"/>
  <c r="H38" i="1"/>
  <c r="G38" i="1"/>
  <c r="F38" i="1"/>
  <c r="E38" i="1"/>
  <c r="D38" i="1"/>
  <c r="X21" i="1"/>
  <c r="T21" i="1"/>
  <c r="P21" i="1"/>
  <c r="L21" i="1"/>
  <c r="AA22" i="1"/>
  <c r="AA21" i="1" s="1"/>
  <c r="Z22" i="1"/>
  <c r="Z21" i="1" s="1"/>
  <c r="Y22" i="1"/>
  <c r="Y21" i="1" s="1"/>
  <c r="X22" i="1"/>
  <c r="W22" i="1"/>
  <c r="W21" i="1" s="1"/>
  <c r="V22" i="1"/>
  <c r="V21" i="1" s="1"/>
  <c r="U22" i="1"/>
  <c r="U21" i="1" s="1"/>
  <c r="T22" i="1"/>
  <c r="S22" i="1"/>
  <c r="S21" i="1" s="1"/>
  <c r="R22" i="1"/>
  <c r="R21" i="1" s="1"/>
  <c r="Q22" i="1"/>
  <c r="Q21" i="1" s="1"/>
  <c r="P22" i="1"/>
  <c r="O22" i="1"/>
  <c r="O21" i="1" s="1"/>
  <c r="N22" i="1"/>
  <c r="N21" i="1" s="1"/>
  <c r="M22" i="1"/>
  <c r="M21" i="1" s="1"/>
  <c r="L22" i="1"/>
  <c r="K22" i="1"/>
  <c r="K21" i="1" s="1"/>
  <c r="J22" i="1"/>
  <c r="J21" i="1" s="1"/>
  <c r="I22" i="1"/>
  <c r="I21" i="1" s="1"/>
  <c r="H36" i="1"/>
  <c r="G36" i="1"/>
  <c r="F36" i="1"/>
  <c r="E36" i="1"/>
  <c r="D36" i="1"/>
  <c r="C36" i="1"/>
  <c r="F42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35" i="1"/>
  <c r="L35" i="1"/>
  <c r="K35" i="1"/>
  <c r="J35" i="1"/>
  <c r="I35" i="1"/>
  <c r="H35" i="1"/>
  <c r="G35" i="1"/>
  <c r="F35" i="1"/>
  <c r="E35" i="1"/>
  <c r="D35" i="1"/>
  <c r="H32" i="1"/>
  <c r="G32" i="1"/>
  <c r="F32" i="1"/>
  <c r="E31" i="1"/>
  <c r="D31" i="1"/>
  <c r="C31" i="1"/>
  <c r="E29" i="1"/>
  <c r="D29" i="1"/>
  <c r="C29" i="1"/>
  <c r="E26" i="1"/>
  <c r="D26" i="1"/>
  <c r="C26" i="1"/>
  <c r="H25" i="1"/>
  <c r="G25" i="1"/>
  <c r="F25" i="1"/>
  <c r="E25" i="1"/>
  <c r="D25" i="1"/>
  <c r="C25" i="1"/>
  <c r="H22" i="1"/>
  <c r="G22" i="1"/>
  <c r="F22" i="1"/>
  <c r="E22" i="1"/>
  <c r="D22" i="1"/>
  <c r="C22" i="1"/>
  <c r="J25" i="1" l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A26" i="1" s="1"/>
  <c r="J26" i="1"/>
  <c r="H26" i="1"/>
  <c r="H29" i="1" s="1"/>
  <c r="H31" i="1" s="1"/>
  <c r="G26" i="1"/>
  <c r="G29" i="1" s="1"/>
  <c r="G31" i="1" s="1"/>
  <c r="F26" i="1"/>
  <c r="F29" i="1" s="1"/>
  <c r="F31" i="1" s="1"/>
  <c r="AA30" i="1" l="1"/>
  <c r="AA29" i="1"/>
  <c r="O26" i="1"/>
  <c r="K26" i="1"/>
  <c r="V26" i="1"/>
  <c r="U26" i="1"/>
  <c r="W26" i="1"/>
  <c r="M26" i="1"/>
  <c r="R26" i="1"/>
  <c r="Q26" i="1"/>
  <c r="P26" i="1"/>
  <c r="S26" i="1"/>
  <c r="X26" i="1"/>
  <c r="N26" i="1"/>
  <c r="L26" i="1"/>
  <c r="T26" i="1"/>
  <c r="Z26" i="1"/>
  <c r="Y26" i="1"/>
  <c r="P29" i="1" l="1"/>
  <c r="P30" i="1"/>
  <c r="P31" i="1" s="1"/>
  <c r="T29" i="1"/>
  <c r="T30" i="1"/>
  <c r="T31" i="1" s="1"/>
  <c r="S30" i="1"/>
  <c r="S29" i="1"/>
  <c r="S31" i="1" s="1"/>
  <c r="W30" i="1"/>
  <c r="W29" i="1"/>
  <c r="W31" i="1" s="1"/>
  <c r="O30" i="1"/>
  <c r="O29" i="1"/>
  <c r="O31" i="1" s="1"/>
  <c r="Y29" i="1"/>
  <c r="Y30" i="1"/>
  <c r="Y31" i="1" s="1"/>
  <c r="N29" i="1"/>
  <c r="N30" i="1"/>
  <c r="Q29" i="1"/>
  <c r="Q30" i="1"/>
  <c r="Q31" i="1" s="1"/>
  <c r="U30" i="1"/>
  <c r="U29" i="1"/>
  <c r="AA31" i="1"/>
  <c r="M29" i="1"/>
  <c r="M30" i="1"/>
  <c r="Z29" i="1"/>
  <c r="Z31" i="1" s="1"/>
  <c r="Z30" i="1"/>
  <c r="X30" i="1"/>
  <c r="X29" i="1"/>
  <c r="R29" i="1"/>
  <c r="R31" i="1" s="1"/>
  <c r="R30" i="1"/>
  <c r="V29" i="1"/>
  <c r="V30" i="1"/>
  <c r="V31" i="1" l="1"/>
  <c r="X31" i="1"/>
  <c r="M31" i="1"/>
  <c r="U31" i="1"/>
  <c r="N31" i="1"/>
</calcChain>
</file>

<file path=xl/sharedStrings.xml><?xml version="1.0" encoding="utf-8"?>
<sst xmlns="http://schemas.openxmlformats.org/spreadsheetml/2006/main" count="64" uniqueCount="50">
  <si>
    <t xml:space="preserve">Revenue </t>
  </si>
  <si>
    <t>COGS</t>
  </si>
  <si>
    <t>Gross Profit</t>
  </si>
  <si>
    <t>SG&amp;A</t>
  </si>
  <si>
    <t xml:space="preserve">Ad &amp; Marketing </t>
  </si>
  <si>
    <t>Op Income</t>
  </si>
  <si>
    <t>Int Income</t>
  </si>
  <si>
    <t>Pre Tax</t>
  </si>
  <si>
    <t>Net Income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</si>
  <si>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</si>
  <si>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</si>
  <si>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</si>
  <si>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</si>
  <si>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</si>
  <si>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</si>
  <si>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</si>
  <si>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</si>
  <si>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</si>
  <si>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</si>
  <si>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</si>
  <si>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</si>
  <si>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</si>
  <si>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</si>
  <si>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</si>
  <si>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</si>
  <si>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</si>
  <si>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</si>
  <si>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</si>
  <si>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</si>
  <si>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</si>
  <si>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</si>
  <si>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</si>
  <si>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</si>
  <si>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Other Expense</t>
  </si>
  <si>
    <t xml:space="preserve">Op Expense </t>
  </si>
  <si>
    <t>EPS</t>
  </si>
  <si>
    <t>Shares</t>
  </si>
  <si>
    <t>Rev y/y</t>
  </si>
  <si>
    <t>Gross Margin</t>
  </si>
  <si>
    <t>Tax Rate</t>
  </si>
  <si>
    <t>Discount</t>
  </si>
  <si>
    <t>NPV</t>
  </si>
  <si>
    <t>Share</t>
  </si>
  <si>
    <t xml:space="preserve">Price </t>
  </si>
  <si>
    <t>MC</t>
  </si>
  <si>
    <t>Cash</t>
  </si>
  <si>
    <t>Debt</t>
  </si>
  <si>
    <t>tax/provision</t>
  </si>
  <si>
    <t>Op Ex y/y</t>
  </si>
  <si>
    <t>Terminal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</si>
</sst>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44" fontId="0" fillId="0" borderId="0" xfId="2" applyFont="1"/>
    <xf numFmtId="44" fontId="0" fillId="0" borderId="0" xfId="0" applyNumberFormat="1"/>
    <xf numFmtId="0" fontId="0" fillId="2" borderId="0" xfId="0" applyFill="1"/>
    <xf numFmtId="0" fontId="0" fillId="3" borderId="0" xfId="0" applyFill="1"/>
    <xf numFmtId="43" fontId="0" fillId="0" borderId="0" xfId="1" applyFont="1"/>
    <xf numFmtId="0" fontId="2" fillId="4" borderId="0" xfId="0" applyFont="1" applyFill="1"/>
    <xf numFmtId="44" fontId="2" fillId="4" borderId="0" xfId="0" applyNumberFormat="1" applyFont="1" applyFill="1"/>
    <xf numFmtId="44" fontId="0" fillId="3" borderId="0" xfId="2" applyFont="1" applyFill="1"/>
    <xf numFmtId="43" fontId="0" fillId="3" borderId="0" xfId="1" applyFont="1" applyFill="1"/>
    <xf numFmtId="9" fontId="0" fillId="0" borderId="0" xfId="3" applyFont="1"/>
    <xf numFmtId="9" fontId="0" fillId="2" borderId="0" xfId="0" applyNumberFormat="1" applyFill="1"/>
    <xf numFmtId="9" fontId="0" fillId="0" borderId="0" xfId="0" applyNumberFormat="1"/>
    <xf numFmtId="9" fontId="0" fillId="5" borderId="0" xfId="0" applyNumberFormat="1" applyFill="1"/>
    <xf numFmtId="0" fontId="0" fillId="6" borderId="0" xfId="0" applyFill="1"/>
    <xf numFmtId="9" fontId="0" fillId="6" borderId="0" xfId="0" applyNumberFormat="1" applyFill="1"/>
    <xf numFmtId="8" fontId="0" fillId="2" borderId="0" xfId="0" applyNumberFormat="1" applyFill="1"/>
    <xf numFmtId="44" fontId="0" fillId="2" borderId="0" xfId="2" applyFont="1" applyFill="1"/>
    <xf numFmtId="0" fontId="0" fillId="5" borderId="0" xfId="0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1409700</xdr:colOff>
      <xdr:row>16</xdr:row>
      <xdr:rowOff>101600</xdr:rowOff>
    </xdr:from>
    <xdr:to>
      <xdr:col>8</xdr:col>
      <xdr:colOff>0</xdr:colOff>
      <xdr:row>37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10544C-B897-F34D-A848-986D1858C268}"/>
            </a:ext>
          </a:extLst>
        </xdr:cNvPr>
        <xdr:cNvCxnSpPr/>
      </xdr:nvCxnSpPr>
      <xdr:spPr>
        <a:xfrm flipH="1">
          <a:off x="10096500" y="711200"/>
          <a:ext cx="12700" cy="4318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44B8-A8D7-9B4E-81F8-9B3E590E8EDC}">
  <dimension ref="B4:AV44"/>
  <sheetViews>
    <sheetView tabSelected="1" topLeftCell="A6" workbookViewId="0">
      <selection activeCell="I45" sqref="I45"/>
    </sheetView>
  </sheetViews>
  <sheetFormatPr baseColWidth="10" defaultRowHeight="16" x14ac:dyDescent="0.2"/>
  <cols>
    <col min="2" max="2" width="14.83203125" customWidth="1"/>
    <col min="3" max="5" width="17.6640625" bestFit="1" customWidth="1"/>
    <col min="6" max="6" width="18.6640625" bestFit="1" customWidth="1"/>
    <col min="7" max="7" width="17.6640625" bestFit="1" customWidth="1"/>
    <col min="8" max="9" width="18.6640625" bestFit="1" customWidth="1"/>
    <col min="10" max="10" width="19.6640625" bestFit="1" customWidth="1"/>
    <col min="11" max="27" width="18.6640625" bestFit="1" customWidth="1"/>
    <col min="28" max="48" width="16" bestFit="1" customWidth="1"/>
  </cols>
  <sheetData>
    <row r="4" spans="2:2" x14ac:dyDescent="0.2">
      <c r="B4" s="1" t="s">
        <v>0</v>
      </c>
    </row>
    <row r="5" spans="2:2" x14ac:dyDescent="0.2">
      <c r="B5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s="1" t="s">
        <v>34</v>
      </c>
    </row>
    <row r="10" spans="2:2" x14ac:dyDescent="0.2">
      <c r="B10" s="1" t="s">
        <v>5</v>
      </c>
    </row>
    <row r="11" spans="2:2" x14ac:dyDescent="0.2">
      <c r="B11" t="s">
        <v>6</v>
      </c>
    </row>
    <row r="12" spans="2:2" x14ac:dyDescent="0.2">
      <c r="B12" t="s">
        <v>33</v>
      </c>
    </row>
    <row r="13" spans="2:2" x14ac:dyDescent="0.2">
      <c r="B13" t="s">
        <v>7</v>
      </c>
    </row>
    <row r="14" spans="2:2" x14ac:dyDescent="0.2">
      <c r="B14" t="s">
        <v>47</v>
      </c>
    </row>
    <row r="15" spans="2:2" x14ac:dyDescent="0.2">
      <c r="B15" s="7" t="s">
        <v>8</v>
      </c>
    </row>
    <row r="19" spans="2:48" x14ac:dyDescent="0.2"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17</v>
      </c>
      <c r="L19" s="1" t="s">
        <v>17</v>
      </c>
      <c r="M19" s="1" t="s">
        <v>18</v>
      </c>
      <c r="N19" s="1" t="s">
        <v>19</v>
      </c>
      <c r="O19" s="1" t="s">
        <v>20</v>
      </c>
      <c r="P19" s="1" t="s">
        <v>21</v>
      </c>
      <c r="Q19" s="1" t="s">
        <v>22</v>
      </c>
      <c r="R19" s="1" t="s">
        <v>23</v>
      </c>
      <c r="S19" s="1" t="s">
        <v>24</v>
      </c>
      <c r="T19" s="1" t="s">
        <v>25</v>
      </c>
      <c r="U19" s="1" t="s">
        <v>26</v>
      </c>
      <c r="V19" s="1" t="s">
        <v>27</v>
      </c>
      <c r="W19" s="1" t="s">
        <v>28</v>
      </c>
      <c r="X19" s="1" t="s">
        <v>29</v>
      </c>
      <c r="Y19" s="1" t="s">
        <v>30</v>
      </c>
      <c r="Z19" s="1" t="s">
        <v>31</v>
      </c>
      <c r="AA19" s="1" t="s">
        <v>32</v>
      </c>
    </row>
    <row r="20" spans="2:48" x14ac:dyDescent="0.2">
      <c r="B20" s="1" t="s">
        <v>0</v>
      </c>
      <c r="C20" s="2">
        <v>2104287000</v>
      </c>
      <c r="D20" s="2">
        <v>3532837000</v>
      </c>
      <c r="E20" s="2">
        <v>4846743000</v>
      </c>
      <c r="F20" s="2">
        <v>7146264000</v>
      </c>
      <c r="G20" s="2">
        <v>8890773000</v>
      </c>
      <c r="H20" s="2">
        <v>10098939000</v>
      </c>
      <c r="I20" s="2">
        <v>11300000000</v>
      </c>
      <c r="J20" s="2">
        <v>12500000000</v>
      </c>
      <c r="K20" s="2">
        <v>13500000000</v>
      </c>
      <c r="L20" s="2">
        <v>14500000000</v>
      </c>
      <c r="M20" s="2">
        <v>15000000000</v>
      </c>
      <c r="N20" s="2">
        <f>M20*N35+M20</f>
        <v>15450000000</v>
      </c>
      <c r="O20" s="2">
        <f>N20*O35+N20</f>
        <v>15913500000</v>
      </c>
      <c r="P20" s="2">
        <f>O20*P35+O20</f>
        <v>16390905000</v>
      </c>
      <c r="Q20" s="2">
        <f>P20*Q35+P20</f>
        <v>16882632150</v>
      </c>
      <c r="R20" s="2">
        <f>Q20*R35+Q20</f>
        <v>17389111114.5</v>
      </c>
      <c r="S20" s="2">
        <f>R20*S35+R20</f>
        <v>17910784447.935001</v>
      </c>
      <c r="T20" s="2">
        <f>S20*T35+S20</f>
        <v>18448107981.373051</v>
      </c>
      <c r="U20" s="2">
        <f>T20*U35+T20</f>
        <v>19001551220.814243</v>
      </c>
      <c r="V20" s="2">
        <f>U20*V35+U20</f>
        <v>19571597757.438671</v>
      </c>
      <c r="W20" s="2">
        <f>V20*W35+V20</f>
        <v>20158745690.161831</v>
      </c>
      <c r="X20" s="2">
        <f>W20*X35+W20</f>
        <v>20763508060.866684</v>
      </c>
      <c r="Y20" s="2">
        <f>X20*Y35+X20</f>
        <v>21386413302.692684</v>
      </c>
      <c r="Z20" s="2">
        <f>Y20*Z35+Y20</f>
        <v>22028005701.773464</v>
      </c>
      <c r="AA20" s="2">
        <f>Z20*AA35+Z20</f>
        <v>22688845872.826668</v>
      </c>
    </row>
    <row r="21" spans="2:48" x14ac:dyDescent="0.2">
      <c r="B21" t="s">
        <v>1</v>
      </c>
      <c r="C21" s="2">
        <v>1736737000</v>
      </c>
      <c r="D21" s="2">
        <v>2818032000</v>
      </c>
      <c r="E21" s="2">
        <v>3702683000</v>
      </c>
      <c r="F21" s="2">
        <v>5325457000</v>
      </c>
      <c r="G21" s="2">
        <v>6517191000</v>
      </c>
      <c r="H21" s="2">
        <v>7268034000</v>
      </c>
      <c r="I21" s="2">
        <f>I20-I22</f>
        <v>8136000000</v>
      </c>
      <c r="J21" s="2">
        <f t="shared" ref="J21:AA21" si="0">J20-J22</f>
        <v>9000000000</v>
      </c>
      <c r="K21" s="2">
        <f t="shared" si="0"/>
        <v>9720000000</v>
      </c>
      <c r="L21" s="2">
        <f t="shared" si="0"/>
        <v>10440000000</v>
      </c>
      <c r="M21" s="2">
        <f t="shared" si="0"/>
        <v>10800000000</v>
      </c>
      <c r="N21" s="2">
        <f t="shared" si="0"/>
        <v>11124000000</v>
      </c>
      <c r="O21" s="2">
        <f t="shared" si="0"/>
        <v>11457720000</v>
      </c>
      <c r="P21" s="2">
        <f t="shared" si="0"/>
        <v>11801451600</v>
      </c>
      <c r="Q21" s="2">
        <f t="shared" si="0"/>
        <v>12155495148</v>
      </c>
      <c r="R21" s="2">
        <f t="shared" si="0"/>
        <v>12520160002.439999</v>
      </c>
      <c r="S21" s="2">
        <f t="shared" si="0"/>
        <v>12895764802.513201</v>
      </c>
      <c r="T21" s="2">
        <f t="shared" si="0"/>
        <v>13282637746.588596</v>
      </c>
      <c r="U21" s="2">
        <f t="shared" si="0"/>
        <v>13681116878.986256</v>
      </c>
      <c r="V21" s="2">
        <f t="shared" si="0"/>
        <v>14091550385.355843</v>
      </c>
      <c r="W21" s="2">
        <f t="shared" si="0"/>
        <v>14514296896.916517</v>
      </c>
      <c r="X21" s="2">
        <f t="shared" si="0"/>
        <v>14949725803.824013</v>
      </c>
      <c r="Y21" s="2">
        <f t="shared" si="0"/>
        <v>15398217577.938732</v>
      </c>
      <c r="Z21" s="2">
        <f t="shared" si="0"/>
        <v>15860164105.276894</v>
      </c>
      <c r="AA21" s="2">
        <f t="shared" si="0"/>
        <v>16335969028.4352</v>
      </c>
    </row>
    <row r="22" spans="2:48" x14ac:dyDescent="0.2">
      <c r="B22" t="s">
        <v>2</v>
      </c>
      <c r="C22" s="2">
        <f>C20-C21</f>
        <v>367550000</v>
      </c>
      <c r="D22" s="2">
        <f t="shared" ref="D22:H22" si="1">D20-D21</f>
        <v>714805000</v>
      </c>
      <c r="E22" s="2">
        <f t="shared" si="1"/>
        <v>1144060000</v>
      </c>
      <c r="F22" s="2">
        <f t="shared" si="1"/>
        <v>1820807000</v>
      </c>
      <c r="G22" s="2">
        <f t="shared" si="1"/>
        <v>2373582000</v>
      </c>
      <c r="H22" s="2">
        <f t="shared" si="1"/>
        <v>2830905000</v>
      </c>
      <c r="I22" s="2">
        <f>I20*I36</f>
        <v>3164000000.0000005</v>
      </c>
      <c r="J22" s="2">
        <f t="shared" ref="J22:AA22" si="2">J20*J36</f>
        <v>3500000000.0000005</v>
      </c>
      <c r="K22" s="2">
        <f t="shared" si="2"/>
        <v>3780000000.0000005</v>
      </c>
      <c r="L22" s="2">
        <f t="shared" si="2"/>
        <v>4060000000.0000005</v>
      </c>
      <c r="M22" s="2">
        <f t="shared" si="2"/>
        <v>4200000000.0000005</v>
      </c>
      <c r="N22" s="2">
        <f t="shared" si="2"/>
        <v>4326000000</v>
      </c>
      <c r="O22" s="2">
        <f t="shared" si="2"/>
        <v>4455780000</v>
      </c>
      <c r="P22" s="2">
        <f t="shared" si="2"/>
        <v>4589453400</v>
      </c>
      <c r="Q22" s="2">
        <f t="shared" si="2"/>
        <v>4727137002</v>
      </c>
      <c r="R22" s="2">
        <f t="shared" si="2"/>
        <v>4868951112.0600004</v>
      </c>
      <c r="S22" s="2">
        <f t="shared" si="2"/>
        <v>5015019645.4218006</v>
      </c>
      <c r="T22" s="2">
        <f t="shared" si="2"/>
        <v>5165470234.7844543</v>
      </c>
      <c r="U22" s="2">
        <f t="shared" si="2"/>
        <v>5320434341.8279886</v>
      </c>
      <c r="V22" s="2">
        <f t="shared" si="2"/>
        <v>5480047372.0828285</v>
      </c>
      <c r="W22" s="2">
        <f t="shared" si="2"/>
        <v>5644448793.2453136</v>
      </c>
      <c r="X22" s="2">
        <f t="shared" si="2"/>
        <v>5813782257.0426722</v>
      </c>
      <c r="Y22" s="2">
        <f t="shared" si="2"/>
        <v>5988195724.753952</v>
      </c>
      <c r="Z22" s="2">
        <f t="shared" si="2"/>
        <v>6167841596.4965706</v>
      </c>
      <c r="AA22" s="2">
        <f t="shared" si="2"/>
        <v>6352876844.391468</v>
      </c>
    </row>
    <row r="23" spans="2:48" x14ac:dyDescent="0.2">
      <c r="B23" t="s">
        <v>3</v>
      </c>
      <c r="C23" s="2">
        <v>451673000</v>
      </c>
      <c r="D23" s="2">
        <v>589507000</v>
      </c>
      <c r="E23" s="2">
        <v>969890000</v>
      </c>
      <c r="F23" s="2">
        <v>1397969000</v>
      </c>
      <c r="G23" s="2">
        <v>1826858000</v>
      </c>
      <c r="H23" s="2">
        <v>2125766000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48" x14ac:dyDescent="0.2">
      <c r="B24" t="s">
        <v>4</v>
      </c>
      <c r="C24" s="2">
        <v>253728000</v>
      </c>
      <c r="D24" s="2">
        <v>393064000</v>
      </c>
      <c r="E24" s="2">
        <v>426896000</v>
      </c>
      <c r="F24" s="2">
        <v>513302000</v>
      </c>
      <c r="G24" s="2">
        <v>618902000</v>
      </c>
      <c r="H24" s="2">
        <v>649386000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48" x14ac:dyDescent="0.2">
      <c r="B25" s="1" t="s">
        <v>34</v>
      </c>
      <c r="C25" s="2">
        <f>C23+C24</f>
        <v>705401000</v>
      </c>
      <c r="D25" s="2">
        <f t="shared" ref="D25:H25" si="3">D23+D24</f>
        <v>982571000</v>
      </c>
      <c r="E25" s="2">
        <f t="shared" si="3"/>
        <v>1396786000</v>
      </c>
      <c r="F25" s="2">
        <f t="shared" si="3"/>
        <v>1911271000</v>
      </c>
      <c r="G25" s="2">
        <f t="shared" si="3"/>
        <v>2445760000</v>
      </c>
      <c r="H25" s="2">
        <f t="shared" si="3"/>
        <v>2775152000</v>
      </c>
      <c r="I25" s="2">
        <f>H25*I38+H25</f>
        <v>3052667200</v>
      </c>
      <c r="J25" s="2">
        <f t="shared" ref="J25:AA25" si="4">I25*J38+I25</f>
        <v>3357933920</v>
      </c>
      <c r="K25" s="2">
        <f t="shared" si="4"/>
        <v>3626568633.5999999</v>
      </c>
      <c r="L25" s="2">
        <f t="shared" si="4"/>
        <v>3807897065.2799997</v>
      </c>
      <c r="M25" s="2">
        <f t="shared" si="4"/>
        <v>3884055006.5855999</v>
      </c>
      <c r="N25" s="2">
        <f t="shared" si="4"/>
        <v>3961736106.7173119</v>
      </c>
      <c r="O25" s="2">
        <f t="shared" si="4"/>
        <v>4040970828.8516579</v>
      </c>
      <c r="P25" s="2">
        <f t="shared" si="4"/>
        <v>4121790245.4286909</v>
      </c>
      <c r="Q25" s="2">
        <f t="shared" si="4"/>
        <v>4204226050.3372645</v>
      </c>
      <c r="R25" s="2">
        <f t="shared" si="4"/>
        <v>4288310571.3440099</v>
      </c>
      <c r="S25" s="2">
        <f t="shared" si="4"/>
        <v>4374076782.7708902</v>
      </c>
      <c r="T25" s="2">
        <f t="shared" si="4"/>
        <v>4461558318.4263077</v>
      </c>
      <c r="U25" s="2">
        <f t="shared" si="4"/>
        <v>4550789484.7948341</v>
      </c>
      <c r="V25" s="2">
        <f t="shared" si="4"/>
        <v>4641805274.4907312</v>
      </c>
      <c r="W25" s="2">
        <f t="shared" si="4"/>
        <v>4734641379.980546</v>
      </c>
      <c r="X25" s="2">
        <f t="shared" si="4"/>
        <v>4829334207.5801573</v>
      </c>
      <c r="Y25" s="2">
        <f t="shared" si="4"/>
        <v>4925920891.73176</v>
      </c>
      <c r="Z25" s="2">
        <f t="shared" si="4"/>
        <v>5024439309.5663948</v>
      </c>
      <c r="AA25" s="2">
        <f t="shared" si="4"/>
        <v>5124928095.7577229</v>
      </c>
    </row>
    <row r="26" spans="2:48" x14ac:dyDescent="0.2">
      <c r="B26" s="1" t="s">
        <v>5</v>
      </c>
      <c r="C26" s="2">
        <f>C22-C25</f>
        <v>-337851000</v>
      </c>
      <c r="D26" s="2">
        <f t="shared" ref="D26:H26" si="5">D22-D25</f>
        <v>-267766000</v>
      </c>
      <c r="E26" s="2">
        <f t="shared" si="5"/>
        <v>-252726000</v>
      </c>
      <c r="F26" s="2">
        <f t="shared" si="5"/>
        <v>-90464000</v>
      </c>
      <c r="G26" s="2">
        <f t="shared" si="5"/>
        <v>-72178000</v>
      </c>
      <c r="H26" s="2">
        <f t="shared" si="5"/>
        <v>55753000</v>
      </c>
      <c r="I26" s="2">
        <f>I22-I25</f>
        <v>111332800.00000048</v>
      </c>
      <c r="J26" s="2">
        <f t="shared" ref="J26:AA26" si="6">J22-J25</f>
        <v>142066080.00000048</v>
      </c>
      <c r="K26" s="2">
        <f t="shared" si="6"/>
        <v>153431366.40000057</v>
      </c>
      <c r="L26" s="2">
        <f t="shared" si="6"/>
        <v>252102934.72000074</v>
      </c>
      <c r="M26" s="2">
        <f t="shared" si="6"/>
        <v>315944993.41440058</v>
      </c>
      <c r="N26" s="2">
        <f t="shared" si="6"/>
        <v>364263893.28268814</v>
      </c>
      <c r="O26" s="2">
        <f t="shared" si="6"/>
        <v>414809171.14834213</v>
      </c>
      <c r="P26" s="2">
        <f t="shared" si="6"/>
        <v>467663154.57130909</v>
      </c>
      <c r="Q26" s="2">
        <f t="shared" si="6"/>
        <v>522910951.66273546</v>
      </c>
      <c r="R26" s="2">
        <f t="shared" si="6"/>
        <v>580640540.71599054</v>
      </c>
      <c r="S26" s="2">
        <f t="shared" si="6"/>
        <v>640942862.65091038</v>
      </c>
      <c r="T26" s="2">
        <f t="shared" si="6"/>
        <v>703911916.35814667</v>
      </c>
      <c r="U26" s="2">
        <f t="shared" si="6"/>
        <v>769644857.03315449</v>
      </c>
      <c r="V26" s="2">
        <f t="shared" si="6"/>
        <v>838242097.59209728</v>
      </c>
      <c r="W26" s="2">
        <f t="shared" si="6"/>
        <v>909807413.26476765</v>
      </c>
      <c r="X26" s="2">
        <f t="shared" si="6"/>
        <v>984448049.46251488</v>
      </c>
      <c r="Y26" s="2">
        <f t="shared" si="6"/>
        <v>1062274833.022192</v>
      </c>
      <c r="Z26" s="2">
        <f t="shared" si="6"/>
        <v>1143402286.9301758</v>
      </c>
      <c r="AA26" s="2">
        <f t="shared" si="6"/>
        <v>1227948748.6337452</v>
      </c>
    </row>
    <row r="27" spans="2:48" x14ac:dyDescent="0.2">
      <c r="B27" t="s">
        <v>6</v>
      </c>
      <c r="C27" s="2">
        <v>-206000</v>
      </c>
      <c r="D27" s="2">
        <v>-124000</v>
      </c>
      <c r="E27" s="2">
        <v>356000</v>
      </c>
      <c r="F27" s="2">
        <v>-2022000</v>
      </c>
      <c r="G27" s="2">
        <v>-1639000</v>
      </c>
      <c r="H27" s="2">
        <v>9291000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48" x14ac:dyDescent="0.2">
      <c r="B28" t="s">
        <v>33</v>
      </c>
      <c r="C28" s="2"/>
      <c r="D28" s="2"/>
      <c r="E28" s="2"/>
      <c r="F28" s="2"/>
      <c r="G28" s="2"/>
      <c r="H28" s="2">
        <v>-13166000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48" x14ac:dyDescent="0.2">
      <c r="B29" t="s">
        <v>7</v>
      </c>
      <c r="C29" s="2">
        <f>C26+C27+C28</f>
        <v>-338057000</v>
      </c>
      <c r="D29" s="2">
        <f t="shared" ref="D29:H29" si="7">D26+D27+D28</f>
        <v>-267890000</v>
      </c>
      <c r="E29" s="2">
        <f t="shared" si="7"/>
        <v>-252370000</v>
      </c>
      <c r="F29" s="2">
        <f t="shared" si="7"/>
        <v>-92486000</v>
      </c>
      <c r="G29" s="2">
        <f t="shared" si="7"/>
        <v>-73817000</v>
      </c>
      <c r="H29" s="2">
        <f t="shared" si="7"/>
        <v>51878000</v>
      </c>
      <c r="I29" s="2">
        <f>I26</f>
        <v>111332800.00000048</v>
      </c>
      <c r="J29" s="2">
        <f t="shared" ref="J29:AA29" si="8">J26</f>
        <v>142066080.00000048</v>
      </c>
      <c r="K29" s="2">
        <f t="shared" si="8"/>
        <v>153431366.40000057</v>
      </c>
      <c r="L29" s="2">
        <f t="shared" si="8"/>
        <v>252102934.72000074</v>
      </c>
      <c r="M29" s="2">
        <f t="shared" si="8"/>
        <v>315944993.41440058</v>
      </c>
      <c r="N29" s="2">
        <f t="shared" si="8"/>
        <v>364263893.28268814</v>
      </c>
      <c r="O29" s="2">
        <f t="shared" si="8"/>
        <v>414809171.14834213</v>
      </c>
      <c r="P29" s="2">
        <f t="shared" si="8"/>
        <v>467663154.57130909</v>
      </c>
      <c r="Q29" s="2">
        <f t="shared" si="8"/>
        <v>522910951.66273546</v>
      </c>
      <c r="R29" s="2">
        <f t="shared" si="8"/>
        <v>580640540.71599054</v>
      </c>
      <c r="S29" s="2">
        <f t="shared" si="8"/>
        <v>640942862.65091038</v>
      </c>
      <c r="T29" s="2">
        <f t="shared" si="8"/>
        <v>703911916.35814667</v>
      </c>
      <c r="U29" s="2">
        <f t="shared" si="8"/>
        <v>769644857.03315449</v>
      </c>
      <c r="V29" s="2">
        <f t="shared" si="8"/>
        <v>838242097.59209728</v>
      </c>
      <c r="W29" s="2">
        <f t="shared" si="8"/>
        <v>909807413.26476765</v>
      </c>
      <c r="X29" s="2">
        <f t="shared" si="8"/>
        <v>984448049.46251488</v>
      </c>
      <c r="Y29" s="2">
        <f t="shared" si="8"/>
        <v>1062274833.022192</v>
      </c>
      <c r="Z29" s="2">
        <f t="shared" si="8"/>
        <v>1143402286.9301758</v>
      </c>
      <c r="AA29" s="2">
        <f t="shared" si="8"/>
        <v>1227948748.6337452</v>
      </c>
    </row>
    <row r="30" spans="2:48" x14ac:dyDescent="0.2">
      <c r="B30" t="s">
        <v>47</v>
      </c>
      <c r="C30" s="2"/>
      <c r="D30" s="2"/>
      <c r="E30" s="2"/>
      <c r="F30" s="2"/>
      <c r="G30" s="2"/>
      <c r="H30" s="2">
        <v>-2646000</v>
      </c>
      <c r="I30" s="2"/>
      <c r="J30" s="2"/>
      <c r="K30" s="2"/>
      <c r="L30" s="2"/>
      <c r="M30" s="2">
        <f>-(M26*M37)</f>
        <v>-63188998.682880118</v>
      </c>
      <c r="N30" s="2">
        <f t="shared" ref="N30:AA30" si="9">-(N26*N37)</f>
        <v>-72852778.656537637</v>
      </c>
      <c r="O30" s="2">
        <f t="shared" si="9"/>
        <v>-82961834.229668438</v>
      </c>
      <c r="P30" s="2">
        <f t="shared" si="9"/>
        <v>-93532630.914261818</v>
      </c>
      <c r="Q30" s="2">
        <f t="shared" si="9"/>
        <v>-104582190.3325471</v>
      </c>
      <c r="R30" s="2">
        <f t="shared" si="9"/>
        <v>-116128108.14319812</v>
      </c>
      <c r="S30" s="2">
        <f t="shared" si="9"/>
        <v>-128188572.53018208</v>
      </c>
      <c r="T30" s="2">
        <f t="shared" si="9"/>
        <v>-140782383.27162933</v>
      </c>
      <c r="U30" s="2">
        <f t="shared" si="9"/>
        <v>-153928971.4066309</v>
      </c>
      <c r="V30" s="2">
        <f t="shared" si="9"/>
        <v>-167648419.51841947</v>
      </c>
      <c r="W30" s="2">
        <f t="shared" si="9"/>
        <v>-181961482.65295354</v>
      </c>
      <c r="X30" s="2">
        <f t="shared" si="9"/>
        <v>-196889609.89250299</v>
      </c>
      <c r="Y30" s="2">
        <f t="shared" si="9"/>
        <v>-212454966.60443842</v>
      </c>
      <c r="Z30" s="2">
        <f t="shared" si="9"/>
        <v>-228680457.38603517</v>
      </c>
      <c r="AA30" s="2">
        <f t="shared" si="9"/>
        <v>-245589749.72674906</v>
      </c>
    </row>
    <row r="31" spans="2:48" x14ac:dyDescent="0.2">
      <c r="B31" s="7" t="s">
        <v>8</v>
      </c>
      <c r="C31" s="8">
        <f>C29+C30</f>
        <v>-338057000</v>
      </c>
      <c r="D31" s="8">
        <f t="shared" ref="D31:H31" si="10">D29+D30</f>
        <v>-267890000</v>
      </c>
      <c r="E31" s="8">
        <f t="shared" si="10"/>
        <v>-252370000</v>
      </c>
      <c r="F31" s="8">
        <f t="shared" si="10"/>
        <v>-92486000</v>
      </c>
      <c r="G31" s="8">
        <f t="shared" si="10"/>
        <v>-73817000</v>
      </c>
      <c r="H31" s="8">
        <f t="shared" si="10"/>
        <v>49232000</v>
      </c>
      <c r="I31" s="8">
        <f>I26</f>
        <v>111332800.00000048</v>
      </c>
      <c r="J31" s="8">
        <f t="shared" ref="J31:L31" si="11">J26</f>
        <v>142066080.00000048</v>
      </c>
      <c r="K31" s="8">
        <f t="shared" si="11"/>
        <v>153431366.40000057</v>
      </c>
      <c r="L31" s="8">
        <f t="shared" si="11"/>
        <v>252102934.72000074</v>
      </c>
      <c r="M31" s="8">
        <f>M29+M30</f>
        <v>252755994.73152047</v>
      </c>
      <c r="N31" s="8">
        <f t="shared" ref="N31:AA31" si="12">N29+N30</f>
        <v>291411114.62615049</v>
      </c>
      <c r="O31" s="8">
        <f t="shared" si="12"/>
        <v>331847336.91867369</v>
      </c>
      <c r="P31" s="8">
        <f t="shared" si="12"/>
        <v>374130523.65704727</v>
      </c>
      <c r="Q31" s="8">
        <f t="shared" si="12"/>
        <v>418328761.33018839</v>
      </c>
      <c r="R31" s="8">
        <f t="shared" si="12"/>
        <v>464512432.57279241</v>
      </c>
      <c r="S31" s="8">
        <f t="shared" si="12"/>
        <v>512754290.12072831</v>
      </c>
      <c r="T31" s="8">
        <f t="shared" si="12"/>
        <v>563129533.08651733</v>
      </c>
      <c r="U31" s="8">
        <f t="shared" si="12"/>
        <v>615715885.62652361</v>
      </c>
      <c r="V31" s="8">
        <f t="shared" si="12"/>
        <v>670593678.07367778</v>
      </c>
      <c r="W31" s="8">
        <f t="shared" si="12"/>
        <v>727845930.61181414</v>
      </c>
      <c r="X31" s="8">
        <f t="shared" si="12"/>
        <v>787558439.57001185</v>
      </c>
      <c r="Y31" s="8">
        <f t="shared" si="12"/>
        <v>849819866.41775358</v>
      </c>
      <c r="Z31" s="8">
        <f t="shared" si="12"/>
        <v>914721829.54414058</v>
      </c>
      <c r="AA31" s="8">
        <f t="shared" si="12"/>
        <v>982358998.90699613</v>
      </c>
      <c r="AB31" s="3">
        <f>AA31*J40+AA31</f>
        <v>972535408.91792619</v>
      </c>
      <c r="AC31" s="3">
        <f>AB31*J40+AB31</f>
        <v>962810054.82874691</v>
      </c>
      <c r="AD31" s="3">
        <f>AC31*J40+AC31</f>
        <v>953181954.2804594</v>
      </c>
      <c r="AE31" s="3">
        <f>AD31*J40+AD31</f>
        <v>943650134.73765481</v>
      </c>
      <c r="AF31" s="3">
        <f>AE31*J40+AE31</f>
        <v>934213633.39027822</v>
      </c>
      <c r="AG31" s="3">
        <f>AF31*J40+AF31</f>
        <v>924871497.05637538</v>
      </c>
      <c r="AH31" s="3">
        <f>AG31*J40+AG31</f>
        <v>915622782.08581161</v>
      </c>
      <c r="AI31" s="3">
        <f>AH31*J40+AH31</f>
        <v>906466554.26495349</v>
      </c>
      <c r="AJ31" s="3">
        <f>AI31*J40+AI31</f>
        <v>897401888.72230399</v>
      </c>
      <c r="AK31" s="3">
        <f>AJ31*J40+AJ31</f>
        <v>888427869.83508098</v>
      </c>
      <c r="AL31" s="3">
        <f>AK31*J40+AK31</f>
        <v>879543591.13673019</v>
      </c>
      <c r="AM31" s="3">
        <f>AL31*J40+AL31</f>
        <v>870748155.2253629</v>
      </c>
      <c r="AN31" s="3">
        <f>AM31*J40+AM31</f>
        <v>862040673.67310929</v>
      </c>
      <c r="AO31" s="3">
        <f>AN31*J40+AN31</f>
        <v>853420266.93637824</v>
      </c>
      <c r="AP31" s="3">
        <f>AO31*J40+AO31</f>
        <v>844886064.2670145</v>
      </c>
      <c r="AQ31" s="3">
        <f>AP31*J40+AP31</f>
        <v>836437203.62434435</v>
      </c>
      <c r="AR31" s="3">
        <f>AQ31*J40+AQ31</f>
        <v>828072831.58810091</v>
      </c>
      <c r="AS31" s="3">
        <f>AR31*J40+AR31</f>
        <v>819792103.2722199</v>
      </c>
      <c r="AT31" s="3">
        <f>AS31*J40+AS31</f>
        <v>811594182.23949766</v>
      </c>
      <c r="AU31" s="3">
        <f>AT31*J40+AT31</f>
        <v>803478240.41710269</v>
      </c>
      <c r="AV31" s="3">
        <f>AU31*J40+AU31</f>
        <v>795443458.0129317</v>
      </c>
    </row>
    <row r="32" spans="2:48" x14ac:dyDescent="0.2">
      <c r="B32" t="s">
        <v>35</v>
      </c>
      <c r="F32" s="2">
        <f>F31/F33</f>
        <v>-0.2271044101758177</v>
      </c>
      <c r="G32" s="2">
        <f t="shared" ref="G32:H32" si="13">G31/G33</f>
        <v>-0.17692669060299412</v>
      </c>
      <c r="H32" s="2">
        <f t="shared" si="13"/>
        <v>0.11657207261602866</v>
      </c>
      <c r="I32" s="2">
        <f t="shared" ref="I32" si="14">I31/I33</f>
        <v>0.26073255269320955</v>
      </c>
      <c r="J32" s="2">
        <f t="shared" ref="J32" si="15">J31/J33</f>
        <v>0.33270744730679269</v>
      </c>
      <c r="K32" s="2">
        <f t="shared" ref="K32" si="16">K31/K33</f>
        <v>0.35932404309133625</v>
      </c>
      <c r="L32" s="2">
        <f t="shared" ref="L32" si="17">L31/L33</f>
        <v>0.59040499934426405</v>
      </c>
      <c r="M32" s="2">
        <f t="shared" ref="M32" si="18">M31/M33</f>
        <v>0.59193441389114865</v>
      </c>
      <c r="N32" s="2">
        <f t="shared" ref="N32" si="19">N31/N33</f>
        <v>0.68246162675913469</v>
      </c>
      <c r="O32" s="2">
        <f t="shared" ref="O32" si="20">O31/O33</f>
        <v>0.7771600396221866</v>
      </c>
      <c r="P32" s="2">
        <f t="shared" ref="P32" si="21">P31/P33</f>
        <v>0.8761838961523355</v>
      </c>
      <c r="Q32" s="2">
        <f t="shared" ref="Q32" si="22">Q31/Q33</f>
        <v>0.97969264948521873</v>
      </c>
      <c r="R32" s="2">
        <f t="shared" ref="R32" si="23">R31/R33</f>
        <v>1.0878511301470548</v>
      </c>
      <c r="S32" s="2">
        <f t="shared" ref="S32" si="24">S31/S33</f>
        <v>1.2008297192522912</v>
      </c>
      <c r="T32" s="2">
        <f t="shared" ref="T32" si="25">T31/T33</f>
        <v>1.3188045271347011</v>
      </c>
      <c r="U32" s="2">
        <f t="shared" ref="U32" si="26">U31/U33</f>
        <v>1.4419575775796807</v>
      </c>
      <c r="V32" s="2">
        <f t="shared" ref="V32" si="27">V31/V33</f>
        <v>1.5704769978306272</v>
      </c>
      <c r="W32" s="2">
        <f t="shared" ref="W32" si="28">W31/W33</f>
        <v>1.704557214547574</v>
      </c>
      <c r="X32" s="2">
        <f t="shared" ref="X32" si="29">X31/X33</f>
        <v>1.844399155901667</v>
      </c>
      <c r="Y32" s="2">
        <f t="shared" ref="Y32" si="30">Y31/Y33</f>
        <v>1.990210459994739</v>
      </c>
      <c r="Z32" s="2">
        <f t="shared" ref="Z32" si="31">Z31/Z33</f>
        <v>2.1422056897989239</v>
      </c>
      <c r="AA32" s="2">
        <f t="shared" ref="AA32" si="32">AA31/AA33</f>
        <v>2.3006065548173211</v>
      </c>
    </row>
    <row r="33" spans="2:27" x14ac:dyDescent="0.2">
      <c r="B33" t="s">
        <v>36</v>
      </c>
      <c r="F33" s="6">
        <v>407240000</v>
      </c>
      <c r="G33" s="6">
        <v>417218000</v>
      </c>
      <c r="H33" s="6">
        <v>422331000</v>
      </c>
      <c r="I33" s="6">
        <v>427000000</v>
      </c>
      <c r="J33" s="6">
        <v>427000000</v>
      </c>
      <c r="K33" s="6">
        <v>427000000</v>
      </c>
      <c r="L33" s="6">
        <v>427000000</v>
      </c>
      <c r="M33" s="6">
        <v>427000000</v>
      </c>
      <c r="N33" s="6">
        <v>427000000</v>
      </c>
      <c r="O33" s="6">
        <v>427000000</v>
      </c>
      <c r="P33" s="6">
        <v>427000000</v>
      </c>
      <c r="Q33" s="6">
        <v>427000000</v>
      </c>
      <c r="R33" s="6">
        <v>427000000</v>
      </c>
      <c r="S33" s="6">
        <v>427000000</v>
      </c>
      <c r="T33" s="6">
        <v>427000000</v>
      </c>
      <c r="U33" s="6">
        <v>427000000</v>
      </c>
      <c r="V33" s="6">
        <v>427000000</v>
      </c>
      <c r="W33" s="6">
        <v>427000000</v>
      </c>
      <c r="X33" s="6">
        <v>427000000</v>
      </c>
      <c r="Y33" s="6">
        <v>427000000</v>
      </c>
      <c r="Z33" s="6">
        <v>427000000</v>
      </c>
      <c r="AA33" s="6">
        <v>427000000</v>
      </c>
    </row>
    <row r="35" spans="2:27" x14ac:dyDescent="0.2">
      <c r="B35" t="s">
        <v>37</v>
      </c>
      <c r="D35" s="11">
        <f>D20/C20-1</f>
        <v>0.67887602784220968</v>
      </c>
      <c r="E35" s="11">
        <f t="shared" ref="E35:M35" si="33">E20/D20-1</f>
        <v>0.37191243185009659</v>
      </c>
      <c r="F35" s="11">
        <f t="shared" si="33"/>
        <v>0.47444665417580434</v>
      </c>
      <c r="G35" s="11">
        <f t="shared" si="33"/>
        <v>0.24411482699211784</v>
      </c>
      <c r="H35" s="11">
        <f t="shared" si="33"/>
        <v>0.13588987144312425</v>
      </c>
      <c r="I35" s="11">
        <f t="shared" si="33"/>
        <v>0.11892942417020236</v>
      </c>
      <c r="J35" s="11">
        <f t="shared" si="33"/>
        <v>0.10619469026548667</v>
      </c>
      <c r="K35" s="11">
        <f t="shared" si="33"/>
        <v>8.0000000000000071E-2</v>
      </c>
      <c r="L35" s="11">
        <f t="shared" si="33"/>
        <v>7.4074074074074181E-2</v>
      </c>
      <c r="M35" s="11">
        <f t="shared" si="33"/>
        <v>3.4482758620689724E-2</v>
      </c>
      <c r="N35" s="11">
        <v>0.03</v>
      </c>
      <c r="O35" s="11">
        <v>0.03</v>
      </c>
      <c r="P35" s="11">
        <v>0.03</v>
      </c>
      <c r="Q35" s="11">
        <v>0.03</v>
      </c>
      <c r="R35" s="11">
        <v>0.03</v>
      </c>
      <c r="S35" s="11">
        <v>0.03</v>
      </c>
      <c r="T35" s="11">
        <v>0.03</v>
      </c>
      <c r="U35" s="11">
        <v>0.03</v>
      </c>
      <c r="V35" s="11">
        <v>0.03</v>
      </c>
      <c r="W35" s="11">
        <v>0.03</v>
      </c>
      <c r="X35" s="11">
        <v>0.03</v>
      </c>
      <c r="Y35" s="11">
        <v>0.03</v>
      </c>
      <c r="Z35" s="11">
        <v>0.03</v>
      </c>
      <c r="AA35" s="11">
        <v>0.03</v>
      </c>
    </row>
    <row r="36" spans="2:27" x14ac:dyDescent="0.2">
      <c r="B36" t="s">
        <v>38</v>
      </c>
      <c r="C36" s="11">
        <f>C22/C20</f>
        <v>0.17466723883196542</v>
      </c>
      <c r="D36" s="11">
        <f t="shared" ref="D36:H36" si="34">D22/D20</f>
        <v>0.20233172376761227</v>
      </c>
      <c r="E36" s="11">
        <f t="shared" si="34"/>
        <v>0.23604717642342496</v>
      </c>
      <c r="F36" s="11">
        <f t="shared" si="34"/>
        <v>0.25479145466778164</v>
      </c>
      <c r="G36" s="11">
        <f t="shared" si="34"/>
        <v>0.26697138707736662</v>
      </c>
      <c r="H36" s="11">
        <f t="shared" si="34"/>
        <v>0.28031707093190683</v>
      </c>
      <c r="I36" s="13">
        <v>0.28000000000000003</v>
      </c>
      <c r="J36" s="13">
        <v>0.28000000000000003</v>
      </c>
      <c r="K36" s="13">
        <v>0.28000000000000003</v>
      </c>
      <c r="L36" s="13">
        <v>0.28000000000000003</v>
      </c>
      <c r="M36" s="13">
        <v>0.28000000000000003</v>
      </c>
      <c r="N36" s="13">
        <v>0.28000000000000003</v>
      </c>
      <c r="O36" s="13">
        <v>0.28000000000000003</v>
      </c>
      <c r="P36" s="13">
        <v>0.28000000000000003</v>
      </c>
      <c r="Q36" s="13">
        <v>0.28000000000000003</v>
      </c>
      <c r="R36" s="13">
        <v>0.28000000000000003</v>
      </c>
      <c r="S36" s="13">
        <v>0.28000000000000003</v>
      </c>
      <c r="T36" s="13">
        <v>0.28000000000000003</v>
      </c>
      <c r="U36" s="13">
        <v>0.28000000000000003</v>
      </c>
      <c r="V36" s="13">
        <v>0.28000000000000003</v>
      </c>
      <c r="W36" s="13">
        <v>0.28000000000000003</v>
      </c>
      <c r="X36" s="13">
        <v>0.28000000000000003</v>
      </c>
      <c r="Y36" s="13">
        <v>0.28000000000000003</v>
      </c>
      <c r="Z36" s="13">
        <v>0.28000000000000003</v>
      </c>
      <c r="AA36" s="13">
        <v>0.28000000000000003</v>
      </c>
    </row>
    <row r="37" spans="2:27" x14ac:dyDescent="0.2">
      <c r="B37" s="19" t="s">
        <v>39</v>
      </c>
      <c r="M37" s="14">
        <v>0.2</v>
      </c>
      <c r="N37" s="14">
        <v>0.2</v>
      </c>
      <c r="O37" s="14">
        <v>0.2</v>
      </c>
      <c r="P37" s="14">
        <v>0.2</v>
      </c>
      <c r="Q37" s="14">
        <v>0.2</v>
      </c>
      <c r="R37" s="14">
        <v>0.2</v>
      </c>
      <c r="S37" s="14">
        <v>0.2</v>
      </c>
      <c r="T37" s="14">
        <v>0.2</v>
      </c>
      <c r="U37" s="14">
        <v>0.2</v>
      </c>
      <c r="V37" s="14">
        <v>0.2</v>
      </c>
      <c r="W37" s="14">
        <v>0.2</v>
      </c>
      <c r="X37" s="14">
        <v>0.2</v>
      </c>
      <c r="Y37" s="14">
        <v>0.2</v>
      </c>
      <c r="Z37" s="14">
        <v>0.2</v>
      </c>
      <c r="AA37" s="14">
        <v>0.2</v>
      </c>
    </row>
    <row r="38" spans="2:27" x14ac:dyDescent="0.2">
      <c r="B38" t="s">
        <v>48</v>
      </c>
      <c r="D38" s="11">
        <f>D25/C25-1</f>
        <v>0.39292544240793537</v>
      </c>
      <c r="E38" s="11">
        <f t="shared" ref="E38:H38" si="35">E25/D25-1</f>
        <v>0.4215624112659544</v>
      </c>
      <c r="F38" s="11">
        <f t="shared" si="35"/>
        <v>0.36833487735415438</v>
      </c>
      <c r="G38" s="11">
        <f t="shared" si="35"/>
        <v>0.27965108035438191</v>
      </c>
      <c r="H38" s="11">
        <f t="shared" si="35"/>
        <v>0.13467879105063463</v>
      </c>
      <c r="I38" s="13">
        <v>0.1</v>
      </c>
      <c r="J38" s="13">
        <v>0.1</v>
      </c>
      <c r="K38" s="13">
        <v>0.08</v>
      </c>
      <c r="L38" s="13">
        <v>0.05</v>
      </c>
      <c r="M38" s="13">
        <v>0.02</v>
      </c>
      <c r="N38" s="13">
        <v>0.02</v>
      </c>
      <c r="O38" s="13">
        <v>0.02</v>
      </c>
      <c r="P38" s="13">
        <v>0.02</v>
      </c>
      <c r="Q38" s="13">
        <v>0.02</v>
      </c>
      <c r="R38" s="13">
        <v>0.02</v>
      </c>
      <c r="S38" s="13">
        <v>0.02</v>
      </c>
      <c r="T38" s="13">
        <v>0.02</v>
      </c>
      <c r="U38" s="13">
        <v>0.02</v>
      </c>
      <c r="V38" s="13">
        <v>0.02</v>
      </c>
      <c r="W38" s="13">
        <v>0.02</v>
      </c>
      <c r="X38" s="13">
        <v>0.02</v>
      </c>
      <c r="Y38" s="13">
        <v>0.02</v>
      </c>
      <c r="Z38" s="13">
        <v>0.02</v>
      </c>
      <c r="AA38" s="13">
        <v>0.02</v>
      </c>
    </row>
    <row r="40" spans="2:27" x14ac:dyDescent="0.2">
      <c r="B40" s="4" t="s">
        <v>40</v>
      </c>
      <c r="C40" s="12">
        <v>0.06</v>
      </c>
      <c r="E40" s="5" t="s">
        <v>43</v>
      </c>
      <c r="F40" s="9">
        <v>30</v>
      </c>
      <c r="I40" s="15" t="s">
        <v>49</v>
      </c>
      <c r="J40" s="16">
        <v>-0.01</v>
      </c>
    </row>
    <row r="41" spans="2:27" x14ac:dyDescent="0.2">
      <c r="B41" s="4" t="s">
        <v>41</v>
      </c>
      <c r="C41" s="17">
        <f>NPV(C40,I31:AV31)</f>
        <v>8124626604.5654325</v>
      </c>
      <c r="E41" s="5" t="s">
        <v>36</v>
      </c>
      <c r="F41" s="10">
        <v>427000000</v>
      </c>
    </row>
    <row r="42" spans="2:27" x14ac:dyDescent="0.2">
      <c r="B42" s="4" t="s">
        <v>42</v>
      </c>
      <c r="C42" s="18">
        <f>C41/F41</f>
        <v>19.027228582120451</v>
      </c>
      <c r="E42" s="5" t="s">
        <v>44</v>
      </c>
      <c r="F42" s="9">
        <f>F40*F41</f>
        <v>12810000000</v>
      </c>
    </row>
    <row r="43" spans="2:27" x14ac:dyDescent="0.2">
      <c r="E43" s="5" t="s">
        <v>45</v>
      </c>
      <c r="F43" s="9">
        <v>677000000</v>
      </c>
    </row>
    <row r="44" spans="2:27" x14ac:dyDescent="0.2">
      <c r="E44" s="5" t="s">
        <v>46</v>
      </c>
      <c r="F44" s="9">
        <v>1769000000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2023-05-31T02:28:54Z</dcterms:created>
  <dcterms:modified xsi:type="dcterms:W3CDTF">2023-05-31T03:47:55Z</dcterms:modified>
</cp:coreProperties>
</file>