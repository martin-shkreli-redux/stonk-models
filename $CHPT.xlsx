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sonmccall/Desktop/$MODELZ/$CHPT/"/>
    </mc:Choice>
  </mc:AlternateContent>
  <xr:revisionPtr revIDLastSave="0" documentId="13_ncr:1_{B86934A7-CD93-4940-B941-659C68928E94}" xr6:coauthVersionLast="45" xr6:coauthVersionMax="45" xr10:uidLastSave="{00000000-0000-0000-0000-000000000000}"/>
  <bookViews>
    <workbookView xWindow="1740" yWindow="1300" windowWidth="28420" windowHeight="17440" xr2:uid="{81F0C93D-E237-5A4C-9CAE-4CAAE07E3C15}"/>
  </bookViews>
  <sheets>
    <sheet name="Mode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1" i="1" l="1"/>
  <c r="F45" i="1" s="1"/>
  <c r="E41" i="1"/>
  <c r="E45" i="1" s="1"/>
  <c r="D41" i="1"/>
  <c r="D45" i="1" s="1"/>
  <c r="C41" i="1"/>
  <c r="C45" i="1" s="1"/>
  <c r="F40" i="1"/>
  <c r="F44" i="1" s="1"/>
  <c r="E40" i="1"/>
  <c r="E44" i="1" s="1"/>
  <c r="D40" i="1"/>
  <c r="D44" i="1" s="1"/>
  <c r="C40" i="1"/>
  <c r="C44" i="1" s="1"/>
  <c r="F39" i="1"/>
  <c r="F43" i="1" s="1"/>
  <c r="E39" i="1"/>
  <c r="E43" i="1" s="1"/>
  <c r="D39" i="1"/>
  <c r="D43" i="1" s="1"/>
  <c r="C39" i="1"/>
  <c r="C43" i="1" s="1"/>
  <c r="F37" i="1"/>
  <c r="E37" i="1"/>
  <c r="D37" i="1"/>
  <c r="F36" i="1"/>
  <c r="E36" i="1"/>
  <c r="D36" i="1"/>
  <c r="F35" i="1"/>
  <c r="E35" i="1"/>
  <c r="D35" i="1"/>
  <c r="F33" i="1"/>
  <c r="E33" i="1"/>
  <c r="D33" i="1"/>
  <c r="F32" i="1"/>
  <c r="E32" i="1"/>
  <c r="D32" i="1"/>
  <c r="F31" i="1"/>
  <c r="E31" i="1"/>
  <c r="D31" i="1"/>
  <c r="J55" i="1"/>
  <c r="J56" i="1" s="1"/>
  <c r="I55" i="1"/>
  <c r="H55" i="1"/>
  <c r="G55" i="1"/>
  <c r="G56" i="1" s="1"/>
  <c r="K51" i="1"/>
  <c r="J75" i="1"/>
  <c r="I75" i="1"/>
  <c r="H75" i="1"/>
  <c r="F81" i="1"/>
  <c r="C71" i="1"/>
  <c r="F60" i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E60" i="1"/>
  <c r="D60" i="1"/>
  <c r="C60" i="1"/>
  <c r="F55" i="1"/>
  <c r="E55" i="1"/>
  <c r="D55" i="1"/>
  <c r="C55" i="1"/>
  <c r="F51" i="1"/>
  <c r="G75" i="1" s="1"/>
  <c r="E51" i="1"/>
  <c r="D51" i="1"/>
  <c r="C51" i="1"/>
  <c r="E75" i="1" l="1"/>
  <c r="C56" i="1"/>
  <c r="C61" i="1" s="1"/>
  <c r="D75" i="1"/>
  <c r="E56" i="1"/>
  <c r="E76" i="1" s="1"/>
  <c r="G61" i="1"/>
  <c r="G69" i="1" s="1"/>
  <c r="G71" i="1" s="1"/>
  <c r="K55" i="1"/>
  <c r="K56" i="1" s="1"/>
  <c r="K61" i="1" s="1"/>
  <c r="K69" i="1" s="1"/>
  <c r="K71" i="1" s="1"/>
  <c r="K72" i="1" s="1"/>
  <c r="L51" i="1"/>
  <c r="J61" i="1"/>
  <c r="J69" i="1" s="1"/>
  <c r="J71" i="1" s="1"/>
  <c r="J72" i="1" s="1"/>
  <c r="F56" i="1"/>
  <c r="F76" i="1" s="1"/>
  <c r="F75" i="1"/>
  <c r="I56" i="1"/>
  <c r="I61" i="1" s="1"/>
  <c r="I69" i="1" s="1"/>
  <c r="I71" i="1" s="1"/>
  <c r="I72" i="1" s="1"/>
  <c r="D56" i="1"/>
  <c r="D76" i="1" s="1"/>
  <c r="H56" i="1"/>
  <c r="H61" i="1" s="1"/>
  <c r="H69" i="1" s="1"/>
  <c r="H71" i="1" s="1"/>
  <c r="H72" i="1" s="1"/>
  <c r="G72" i="1" l="1"/>
  <c r="C76" i="1"/>
  <c r="E61" i="1"/>
  <c r="E69" i="1" s="1"/>
  <c r="E71" i="1" s="1"/>
  <c r="F61" i="1"/>
  <c r="F69" i="1" s="1"/>
  <c r="F71" i="1" s="1"/>
  <c r="F72" i="1" s="1"/>
  <c r="D61" i="1"/>
  <c r="D69" i="1" s="1"/>
  <c r="D71" i="1" s="1"/>
  <c r="L55" i="1"/>
  <c r="L56" i="1" s="1"/>
  <c r="L61" i="1" s="1"/>
  <c r="L69" i="1" s="1"/>
  <c r="L71" i="1" s="1"/>
  <c r="L72" i="1" s="1"/>
  <c r="M51" i="1"/>
  <c r="M55" i="1" l="1"/>
  <c r="M56" i="1" s="1"/>
  <c r="M61" i="1" s="1"/>
  <c r="M69" i="1" s="1"/>
  <c r="N51" i="1"/>
  <c r="M70" i="1" l="1"/>
  <c r="M71" i="1" s="1"/>
  <c r="O51" i="1"/>
  <c r="N55" i="1"/>
  <c r="N56" i="1" s="1"/>
  <c r="N61" i="1" s="1"/>
  <c r="N69" i="1" s="1"/>
  <c r="M72" i="1" l="1"/>
  <c r="N70" i="1"/>
  <c r="N71" i="1" s="1"/>
  <c r="O55" i="1"/>
  <c r="O56" i="1" s="1"/>
  <c r="O61" i="1" s="1"/>
  <c r="O69" i="1" s="1"/>
  <c r="P51" i="1"/>
  <c r="N72" i="1" l="1"/>
  <c r="O70" i="1"/>
  <c r="O71" i="1" s="1"/>
  <c r="P55" i="1"/>
  <c r="P56" i="1" s="1"/>
  <c r="P61" i="1" s="1"/>
  <c r="P69" i="1" s="1"/>
  <c r="Q51" i="1"/>
  <c r="O72" i="1" l="1"/>
  <c r="P70" i="1"/>
  <c r="P71" i="1" s="1"/>
  <c r="P72" i="1" s="1"/>
  <c r="Q55" i="1"/>
  <c r="Q56" i="1" s="1"/>
  <c r="Q61" i="1" s="1"/>
  <c r="Q69" i="1" s="1"/>
  <c r="R51" i="1"/>
  <c r="Q70" i="1" l="1"/>
  <c r="Q71" i="1" s="1"/>
  <c r="Q72" i="1" s="1"/>
  <c r="R55" i="1"/>
  <c r="R56" i="1" s="1"/>
  <c r="R61" i="1" s="1"/>
  <c r="R69" i="1" s="1"/>
  <c r="S51" i="1"/>
  <c r="R70" i="1" l="1"/>
  <c r="R71" i="1" s="1"/>
  <c r="R72" i="1" s="1"/>
  <c r="T51" i="1"/>
  <c r="S55" i="1"/>
  <c r="S56" i="1" s="1"/>
  <c r="S61" i="1" s="1"/>
  <c r="S69" i="1" s="1"/>
  <c r="S70" i="1" l="1"/>
  <c r="S71" i="1" s="1"/>
  <c r="S72" i="1" s="1"/>
  <c r="T55" i="1"/>
  <c r="T56" i="1" s="1"/>
  <c r="T61" i="1" s="1"/>
  <c r="T69" i="1" s="1"/>
  <c r="U51" i="1"/>
  <c r="T70" i="1" l="1"/>
  <c r="T71" i="1" s="1"/>
  <c r="T72" i="1" s="1"/>
  <c r="U55" i="1"/>
  <c r="U56" i="1" s="1"/>
  <c r="U61" i="1" s="1"/>
  <c r="U69" i="1" s="1"/>
  <c r="V51" i="1"/>
  <c r="U70" i="1" l="1"/>
  <c r="U71" i="1" s="1"/>
  <c r="U72" i="1" s="1"/>
  <c r="W51" i="1"/>
  <c r="V55" i="1"/>
  <c r="V56" i="1" s="1"/>
  <c r="V61" i="1" s="1"/>
  <c r="V69" i="1" s="1"/>
  <c r="V70" i="1" l="1"/>
  <c r="V71" i="1" s="1"/>
  <c r="V72" i="1" s="1"/>
  <c r="W55" i="1"/>
  <c r="W56" i="1" s="1"/>
  <c r="W61" i="1" s="1"/>
  <c r="W69" i="1" s="1"/>
  <c r="W70" i="1" l="1"/>
  <c r="W71" i="1" s="1"/>
  <c r="W72" i="1" s="1"/>
  <c r="X71" i="1" l="1"/>
  <c r="Y71" i="1" s="1"/>
  <c r="Z71" i="1" s="1"/>
  <c r="AA71" i="1" s="1"/>
  <c r="AB71" i="1" s="1"/>
  <c r="AC71" i="1" s="1"/>
  <c r="AD71" i="1" s="1"/>
  <c r="AE71" i="1" s="1"/>
  <c r="AF71" i="1" s="1"/>
  <c r="AG71" i="1" s="1"/>
  <c r="AH71" i="1" s="1"/>
  <c r="AI71" i="1" s="1"/>
  <c r="AJ71" i="1" s="1"/>
  <c r="AK71" i="1" s="1"/>
  <c r="AL71" i="1" s="1"/>
  <c r="AM71" i="1" s="1"/>
  <c r="AN71" i="1" s="1"/>
  <c r="AO71" i="1" s="1"/>
  <c r="AP71" i="1" s="1"/>
  <c r="AQ71" i="1" s="1"/>
  <c r="AR71" i="1" s="1"/>
  <c r="AS71" i="1" s="1"/>
  <c r="AT71" i="1" s="1"/>
  <c r="AU71" i="1" s="1"/>
  <c r="AV71" i="1" s="1"/>
  <c r="AW71" i="1" s="1"/>
  <c r="C80" i="1" s="1"/>
  <c r="C81" i="1" s="1"/>
</calcChain>
</file>

<file path=xl/sharedStrings.xml><?xml version="1.0" encoding="utf-8"?>
<sst xmlns="http://schemas.openxmlformats.org/spreadsheetml/2006/main" count="114" uniqueCount="90">
  <si>
    <t>Network Charging Rev</t>
  </si>
  <si>
    <t>Other Rev</t>
  </si>
  <si>
    <t>Subscribtions Rev</t>
  </si>
  <si>
    <t>COR</t>
  </si>
  <si>
    <t>(11-1)/21</t>
  </si>
  <si>
    <t>(8-10)/20</t>
  </si>
  <si>
    <t>(5-7)/20</t>
  </si>
  <si>
    <t>(2-4)/20</t>
  </si>
  <si>
    <t>(2-4)/21</t>
  </si>
  <si>
    <t>(5-7)/21</t>
  </si>
  <si>
    <t>(8-10)/21</t>
  </si>
  <si>
    <t>(11-1)/22</t>
  </si>
  <si>
    <t>(2-4)/22</t>
  </si>
  <si>
    <t>(5-7)/22</t>
  </si>
  <si>
    <t>(8-10)/22</t>
  </si>
  <si>
    <t>(11-1)/23</t>
  </si>
  <si>
    <t>(2-4)/23</t>
  </si>
  <si>
    <t>(5-7)/23</t>
  </si>
  <si>
    <t>(8-10)/23</t>
  </si>
  <si>
    <t>(11-1)/24</t>
  </si>
  <si>
    <t>(2-4)/24</t>
  </si>
  <si>
    <t>Gross Profit</t>
  </si>
  <si>
    <t>R&amp;D</t>
  </si>
  <si>
    <t xml:space="preserve">Sales &amp; Marketing </t>
  </si>
  <si>
    <t>General and Admin</t>
  </si>
  <si>
    <t xml:space="preserve">Op Income </t>
  </si>
  <si>
    <t xml:space="preserve">Op Expense </t>
  </si>
  <si>
    <t>Int Income</t>
  </si>
  <si>
    <t xml:space="preserve">Int Expense </t>
  </si>
  <si>
    <t>Change/ RCPSWL</t>
  </si>
  <si>
    <t>Change/ ACSWL</t>
  </si>
  <si>
    <t>Change/ CEL</t>
  </si>
  <si>
    <t>Transaction Expense</t>
  </si>
  <si>
    <t>Other Income Net</t>
  </si>
  <si>
    <t>Pre Tax</t>
  </si>
  <si>
    <t xml:space="preserve">Taxes </t>
  </si>
  <si>
    <t xml:space="preserve">Net Income 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</si>
  <si>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</si>
  <si>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</si>
  <si>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</si>
  <si>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</si>
  <si>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</si>
  <si>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</si>
  <si>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</si>
  <si>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</si>
  <si>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</si>
  <si>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</si>
  <si>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</si>
  <si>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</si>
  <si>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</si>
  <si>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</si>
  <si>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</si>
  <si>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</si>
  <si>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</si>
  <si>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</si>
  <si>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</si>
  <si>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</si>
  <si>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</si>
  <si>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REV</t>
  </si>
  <si>
    <t>EPS</t>
  </si>
  <si>
    <t>Shares</t>
  </si>
  <si>
    <t>Rev y/y</t>
  </si>
  <si>
    <t>Gross Profit y/y</t>
  </si>
  <si>
    <t>Tax Rate</t>
  </si>
  <si>
    <t>Network Costs</t>
  </si>
  <si>
    <t>Subscribtion Costs</t>
  </si>
  <si>
    <t>Other Costs</t>
  </si>
  <si>
    <t xml:space="preserve">Network Costs </t>
  </si>
  <si>
    <t>Network Charging Rev y/y</t>
  </si>
  <si>
    <t>Subscribtion Rev y/y</t>
  </si>
  <si>
    <t>Other Rev y/y</t>
  </si>
  <si>
    <t>Discount</t>
  </si>
  <si>
    <t>NPV</t>
  </si>
  <si>
    <t>Share</t>
  </si>
  <si>
    <t>Price</t>
  </si>
  <si>
    <t>MC</t>
  </si>
  <si>
    <t>Cash</t>
  </si>
  <si>
    <t xml:space="preserve">Debt </t>
  </si>
  <si>
    <t>EV</t>
  </si>
  <si>
    <t>R&amp;D/SG&amp;A Costs</t>
  </si>
  <si>
    <t>Network Cost y/y</t>
  </si>
  <si>
    <t>Subscribtion Cost y/y</t>
  </si>
  <si>
    <t>Ohther Cost y/y</t>
  </si>
  <si>
    <t>Network Charging Gross Margin</t>
  </si>
  <si>
    <t>Suscribtion Gross Margin</t>
  </si>
  <si>
    <t>Other Gross Margin</t>
  </si>
  <si>
    <t>Gross Profit Network</t>
  </si>
  <si>
    <t>Gross Profit Subscribtion</t>
  </si>
  <si>
    <t>Gross Profit Other</t>
  </si>
  <si>
    <t>Terminal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</si>
</sst>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Fill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44" fontId="0" fillId="0" borderId="0" xfId="2" applyFont="1"/>
    <xf numFmtId="9" fontId="0" fillId="0" borderId="0" xfId="0" applyNumberFormat="1"/>
    <xf numFmtId="0" fontId="3" fillId="4" borderId="0" xfId="0" applyFont="1" applyFill="1"/>
    <xf numFmtId="9" fontId="3" fillId="4" borderId="0" xfId="0" applyNumberFormat="1" applyFont="1" applyFill="1"/>
    <xf numFmtId="44" fontId="0" fillId="0" borderId="0" xfId="0" applyNumberFormat="1"/>
    <xf numFmtId="0" fontId="2" fillId="5" borderId="0" xfId="0" applyFont="1" applyFill="1"/>
    <xf numFmtId="44" fontId="0" fillId="5" borderId="0" xfId="0" applyNumberFormat="1" applyFill="1"/>
    <xf numFmtId="9" fontId="0" fillId="0" borderId="0" xfId="3" applyFont="1"/>
    <xf numFmtId="43" fontId="0" fillId="0" borderId="0" xfId="1" applyFont="1"/>
    <xf numFmtId="0" fontId="0" fillId="6" borderId="0" xfId="0" applyFill="1"/>
    <xf numFmtId="0" fontId="0" fillId="7" borderId="0" xfId="0" applyFill="1"/>
    <xf numFmtId="14" fontId="2" fillId="0" borderId="0" xfId="0" applyNumberFormat="1" applyFont="1"/>
    <xf numFmtId="44" fontId="0" fillId="7" borderId="0" xfId="2" applyFont="1" applyFill="1"/>
    <xf numFmtId="43" fontId="0" fillId="7" borderId="0" xfId="1" applyFont="1" applyFill="1"/>
    <xf numFmtId="9" fontId="0" fillId="6" borderId="0" xfId="0" applyNumberFormat="1" applyFill="1"/>
    <xf numFmtId="0" fontId="0" fillId="8" borderId="0" xfId="0" applyFill="1"/>
    <xf numFmtId="9" fontId="0" fillId="8" borderId="0" xfId="0" applyNumberFormat="1" applyFill="1"/>
    <xf numFmtId="0" fontId="2" fillId="9" borderId="0" xfId="0" applyFont="1" applyFill="1"/>
    <xf numFmtId="44" fontId="0" fillId="9" borderId="0" xfId="2" applyFont="1" applyFill="1"/>
    <xf numFmtId="0" fontId="0" fillId="9" borderId="0" xfId="0" applyFill="1"/>
    <xf numFmtId="0" fontId="0" fillId="0" borderId="0" xfId="0" applyFont="1"/>
    <xf numFmtId="8" fontId="0" fillId="6" borderId="0" xfId="0" applyNumberFormat="1" applyFill="1"/>
    <xf numFmtId="44" fontId="0" fillId="6" borderId="0" xfId="2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152400</xdr:rowOff>
    </xdr:from>
    <xdr:to>
      <xdr:col>6</xdr:col>
      <xdr:colOff>0</xdr:colOff>
      <xdr:row>76</xdr:row>
      <xdr:rowOff>88900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14DAB2F-29EC-E348-8BFA-10AEBBDF5241}"/>
            </a:ext>
          </a:extLst>
        </xdr:cNvPr>
        <xdr:cNvCxnSpPr/>
      </xdr:nvCxnSpPr>
      <xdr:spPr>
        <a:xfrm>
          <a:off x="7658100" y="6045200"/>
          <a:ext cx="0" cy="7048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48</xdr:row>
      <xdr:rowOff>76200</xdr:rowOff>
    </xdr:from>
    <xdr:to>
      <xdr:col>10</xdr:col>
      <xdr:colOff>0</xdr:colOff>
      <xdr:row>52</xdr:row>
      <xdr:rowOff>127000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52123D3-8F8A-0641-8BEC-B3782090C4B8}"/>
            </a:ext>
          </a:extLst>
        </xdr:cNvPr>
        <xdr:cNvCxnSpPr/>
      </xdr:nvCxnSpPr>
      <xdr:spPr>
        <a:xfrm>
          <a:off x="13068300" y="7391400"/>
          <a:ext cx="0" cy="863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57</xdr:row>
      <xdr:rowOff>165100</xdr:rowOff>
    </xdr:from>
    <xdr:to>
      <xdr:col>11</xdr:col>
      <xdr:colOff>0</xdr:colOff>
      <xdr:row>62</xdr:row>
      <xdr:rowOff>50800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B9C5650-1959-5249-B8E9-B33A17A02323}"/>
            </a:ext>
          </a:extLst>
        </xdr:cNvPr>
        <xdr:cNvCxnSpPr/>
      </xdr:nvCxnSpPr>
      <xdr:spPr>
        <a:xfrm>
          <a:off x="14414500" y="9309100"/>
          <a:ext cx="0" cy="901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01E7-D35E-4E48-923B-6D57C3F201B6}">
  <dimension ref="B2:AW84"/>
  <sheetViews>
    <sheetView tabSelected="1" topLeftCell="A54" workbookViewId="0">
      <selection activeCell="A44" sqref="A44"/>
    </sheetView>
  </sheetViews>
  <sheetFormatPr baseColWidth="10" defaultRowHeight="16" x14ac:dyDescent="0.2"/>
  <cols>
    <col min="2" max="2" width="26.83203125" customWidth="1"/>
    <col min="3" max="5" width="16.83203125" bestFit="1" customWidth="1"/>
    <col min="6" max="6" width="17.6640625" bestFit="1" customWidth="1"/>
    <col min="7" max="7" width="16.83203125" bestFit="1" customWidth="1"/>
    <col min="8" max="8" width="17.6640625" bestFit="1" customWidth="1"/>
    <col min="9" max="9" width="18" customWidth="1"/>
    <col min="10" max="34" width="17.6640625" bestFit="1" customWidth="1"/>
    <col min="35" max="49" width="16" bestFit="1" customWidth="1"/>
  </cols>
  <sheetData>
    <row r="2" spans="2:19" x14ac:dyDescent="0.2">
      <c r="B2" s="16">
        <v>45028</v>
      </c>
    </row>
    <row r="5" spans="2:19" x14ac:dyDescent="0.2">
      <c r="B5" s="1"/>
      <c r="C5" s="2" t="s">
        <v>7</v>
      </c>
      <c r="D5" s="2" t="s">
        <v>6</v>
      </c>
      <c r="E5" s="2" t="s">
        <v>5</v>
      </c>
      <c r="F5" s="2" t="s">
        <v>4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</row>
    <row r="6" spans="2:19" x14ac:dyDescent="0.2">
      <c r="B6" t="s">
        <v>0</v>
      </c>
      <c r="C6" s="5">
        <v>19657000</v>
      </c>
      <c r="D6" s="5">
        <v>21368000</v>
      </c>
      <c r="E6" s="5">
        <v>22566000</v>
      </c>
      <c r="F6" s="5"/>
      <c r="G6" s="5">
        <v>26800000</v>
      </c>
      <c r="H6" s="5">
        <v>40874000</v>
      </c>
      <c r="I6" s="5">
        <v>47511000</v>
      </c>
      <c r="K6" s="5">
        <v>59551000</v>
      </c>
      <c r="L6" s="5">
        <v>84148000</v>
      </c>
      <c r="M6" s="5">
        <v>97592000</v>
      </c>
    </row>
    <row r="7" spans="2:19" x14ac:dyDescent="0.2">
      <c r="B7" t="s">
        <v>2</v>
      </c>
      <c r="C7" s="5">
        <v>9004000</v>
      </c>
      <c r="D7" s="5">
        <v>9811000</v>
      </c>
      <c r="E7" s="5">
        <v>10782000</v>
      </c>
      <c r="F7" s="5"/>
      <c r="G7" s="5">
        <v>10824000</v>
      </c>
      <c r="H7" s="5">
        <v>12082000</v>
      </c>
      <c r="I7" s="5">
        <v>13397000</v>
      </c>
      <c r="K7" s="5">
        <v>17646000</v>
      </c>
      <c r="L7" s="5">
        <v>20244000</v>
      </c>
      <c r="M7" s="5">
        <v>21670000</v>
      </c>
    </row>
    <row r="8" spans="2:19" x14ac:dyDescent="0.2">
      <c r="B8" t="s">
        <v>1</v>
      </c>
      <c r="C8" s="5">
        <v>4115000</v>
      </c>
      <c r="D8" s="5">
        <v>3778000</v>
      </c>
      <c r="E8" s="5">
        <v>3017000</v>
      </c>
      <c r="F8" s="5"/>
      <c r="G8" s="5">
        <v>2886000</v>
      </c>
      <c r="H8" s="5">
        <v>3165000</v>
      </c>
      <c r="I8" s="5">
        <v>4126000</v>
      </c>
      <c r="K8" s="5">
        <v>4436000</v>
      </c>
      <c r="L8" s="5">
        <v>3900000</v>
      </c>
      <c r="M8" s="5">
        <v>6079000</v>
      </c>
    </row>
    <row r="9" spans="2:19" x14ac:dyDescent="0.2">
      <c r="B9" s="3" t="s">
        <v>58</v>
      </c>
      <c r="C9" s="5">
        <v>32776000</v>
      </c>
      <c r="D9" s="5">
        <v>34957000</v>
      </c>
      <c r="E9" s="5">
        <v>36365000</v>
      </c>
      <c r="F9" s="5"/>
      <c r="G9" s="5">
        <v>40510000</v>
      </c>
      <c r="H9" s="5">
        <v>56121000</v>
      </c>
      <c r="I9" s="5">
        <v>65034000</v>
      </c>
      <c r="J9" s="5">
        <v>79341000</v>
      </c>
      <c r="K9" s="5">
        <v>81633000</v>
      </c>
      <c r="L9" s="5">
        <v>108292000</v>
      </c>
      <c r="M9" s="5">
        <v>125341000</v>
      </c>
      <c r="N9" s="5">
        <v>152827000</v>
      </c>
    </row>
    <row r="10" spans="2:19" x14ac:dyDescent="0.2">
      <c r="B10" t="s">
        <v>67</v>
      </c>
      <c r="C10" s="5">
        <v>18616000</v>
      </c>
      <c r="D10" s="5">
        <v>20408000</v>
      </c>
      <c r="E10" s="5">
        <v>22382000</v>
      </c>
      <c r="F10" s="5"/>
      <c r="G10" s="5">
        <v>23742000</v>
      </c>
      <c r="H10" s="5">
        <v>35384000</v>
      </c>
      <c r="I10" s="5">
        <v>38720000</v>
      </c>
      <c r="K10" s="5">
        <v>56266000</v>
      </c>
      <c r="L10" s="5">
        <v>74352000</v>
      </c>
      <c r="M10" s="5">
        <v>85821000</v>
      </c>
    </row>
    <row r="11" spans="2:19" x14ac:dyDescent="0.2">
      <c r="B11" t="s">
        <v>65</v>
      </c>
      <c r="C11" s="5">
        <v>4773000</v>
      </c>
      <c r="D11" s="5">
        <v>4452000</v>
      </c>
      <c r="E11" s="5">
        <v>5322000</v>
      </c>
      <c r="F11" s="5"/>
      <c r="G11" s="5">
        <v>5640000</v>
      </c>
      <c r="H11" s="5">
        <v>7830000</v>
      </c>
      <c r="I11" s="5">
        <v>7637000</v>
      </c>
      <c r="K11" s="5">
        <v>10628000</v>
      </c>
      <c r="L11" s="5">
        <v>13278000</v>
      </c>
      <c r="M11" s="5">
        <v>13400000</v>
      </c>
    </row>
    <row r="12" spans="2:19" x14ac:dyDescent="0.2">
      <c r="B12" t="s">
        <v>66</v>
      </c>
      <c r="C12" s="5">
        <v>1623000</v>
      </c>
      <c r="D12" s="5">
        <v>1069000</v>
      </c>
      <c r="E12" s="5">
        <v>1408000</v>
      </c>
      <c r="F12" s="5"/>
      <c r="G12" s="5">
        <v>1911000</v>
      </c>
      <c r="H12" s="5">
        <v>2130000</v>
      </c>
      <c r="I12" s="5">
        <v>2621000</v>
      </c>
      <c r="K12" s="5">
        <v>2632000</v>
      </c>
      <c r="L12" s="5">
        <v>2509000</v>
      </c>
      <c r="M12" s="5">
        <v>3439000</v>
      </c>
    </row>
    <row r="13" spans="2:19" x14ac:dyDescent="0.2">
      <c r="B13" s="4" t="s">
        <v>3</v>
      </c>
      <c r="C13" s="5">
        <v>25012000</v>
      </c>
      <c r="D13" s="5">
        <v>25929000</v>
      </c>
      <c r="E13" s="5">
        <v>29112000</v>
      </c>
      <c r="F13" s="5"/>
      <c r="G13" s="5">
        <v>31293000</v>
      </c>
      <c r="H13" s="5">
        <v>45344000</v>
      </c>
      <c r="I13" s="5">
        <v>48978000</v>
      </c>
      <c r="J13" s="5">
        <v>61858000</v>
      </c>
      <c r="K13" s="5">
        <v>69526000</v>
      </c>
      <c r="L13" s="5">
        <v>90139000</v>
      </c>
      <c r="M13" s="5">
        <v>102660000</v>
      </c>
      <c r="N13" s="5">
        <v>119836000</v>
      </c>
    </row>
    <row r="14" spans="2:19" x14ac:dyDescent="0.2">
      <c r="B14" s="2" t="s">
        <v>21</v>
      </c>
      <c r="C14" s="5">
        <v>7764000</v>
      </c>
      <c r="D14" s="5">
        <v>9028000</v>
      </c>
      <c r="E14" s="5">
        <v>7253000</v>
      </c>
      <c r="F14" s="5"/>
      <c r="G14" s="5">
        <v>9217000</v>
      </c>
      <c r="H14" s="5">
        <v>10777000</v>
      </c>
      <c r="I14" s="5">
        <v>16056000</v>
      </c>
      <c r="K14" s="5">
        <v>12107000</v>
      </c>
      <c r="L14" s="5">
        <v>18153000</v>
      </c>
      <c r="M14" s="5">
        <v>22681000</v>
      </c>
    </row>
    <row r="15" spans="2:19" x14ac:dyDescent="0.2">
      <c r="B15" t="s">
        <v>22</v>
      </c>
      <c r="C15" s="5">
        <v>18026000</v>
      </c>
      <c r="D15" s="5">
        <v>17126000</v>
      </c>
      <c r="E15" s="5">
        <v>18919000</v>
      </c>
      <c r="F15" s="5"/>
      <c r="G15" s="5">
        <v>25374000</v>
      </c>
      <c r="H15" s="5">
        <v>40410000</v>
      </c>
      <c r="I15" s="5">
        <v>36751000</v>
      </c>
      <c r="J15" s="5">
        <v>42508000</v>
      </c>
      <c r="K15" s="5">
        <v>48302000</v>
      </c>
      <c r="L15" s="5">
        <v>51804000</v>
      </c>
      <c r="M15" s="5">
        <v>48132000</v>
      </c>
      <c r="N15" s="5">
        <v>46720000</v>
      </c>
    </row>
    <row r="16" spans="2:19" x14ac:dyDescent="0.2">
      <c r="B16" t="s">
        <v>23</v>
      </c>
      <c r="C16" s="5">
        <v>14201000</v>
      </c>
      <c r="D16" s="5">
        <v>10966000</v>
      </c>
      <c r="E16" s="5">
        <v>12134000</v>
      </c>
      <c r="F16" s="5"/>
      <c r="G16" s="5">
        <v>15974000</v>
      </c>
      <c r="H16" s="5">
        <v>21923000</v>
      </c>
      <c r="I16" s="5">
        <v>24361000</v>
      </c>
      <c r="K16" s="5">
        <v>32588000</v>
      </c>
      <c r="L16" s="5">
        <v>33873000</v>
      </c>
      <c r="M16" s="5">
        <v>35382000</v>
      </c>
    </row>
    <row r="17" spans="2:19" x14ac:dyDescent="0.2">
      <c r="B17" t="s">
        <v>24</v>
      </c>
      <c r="C17" s="5">
        <v>5089000</v>
      </c>
      <c r="D17" s="5">
        <v>4466000</v>
      </c>
      <c r="E17" s="5">
        <v>8790000</v>
      </c>
      <c r="F17" s="5"/>
      <c r="G17" s="5">
        <v>14467000</v>
      </c>
      <c r="H17" s="5">
        <v>22732000</v>
      </c>
      <c r="I17" s="5">
        <v>20268000</v>
      </c>
      <c r="K17" s="5">
        <v>21047000</v>
      </c>
      <c r="L17" s="5">
        <v>22846000</v>
      </c>
      <c r="M17" s="5">
        <v>22445000</v>
      </c>
    </row>
    <row r="18" spans="2:19" x14ac:dyDescent="0.2">
      <c r="B18" t="s">
        <v>26</v>
      </c>
      <c r="C18" s="5">
        <v>37316000</v>
      </c>
      <c r="D18" s="5">
        <v>32558000</v>
      </c>
      <c r="E18" s="5">
        <v>39843000</v>
      </c>
      <c r="F18" s="5"/>
      <c r="G18" s="5">
        <v>55815000</v>
      </c>
      <c r="H18" s="5">
        <v>85065000</v>
      </c>
      <c r="I18" s="5">
        <v>81380000</v>
      </c>
      <c r="J18" s="5">
        <v>158571000</v>
      </c>
      <c r="K18" s="5">
        <v>101937000</v>
      </c>
      <c r="L18" s="5">
        <v>108523000</v>
      </c>
      <c r="M18" s="5">
        <v>105959000</v>
      </c>
      <c r="N18" s="5">
        <v>231133000</v>
      </c>
    </row>
    <row r="19" spans="2:19" x14ac:dyDescent="0.2">
      <c r="B19" s="2" t="s">
        <v>25</v>
      </c>
      <c r="C19" s="5">
        <v>-29552000</v>
      </c>
      <c r="D19" s="5">
        <v>-23530000</v>
      </c>
      <c r="E19" s="5">
        <v>-32590000</v>
      </c>
      <c r="F19" s="5"/>
      <c r="G19" s="5">
        <v>-46598000</v>
      </c>
      <c r="H19" s="5">
        <v>-74288000</v>
      </c>
      <c r="I19" s="5">
        <v>-65324000</v>
      </c>
      <c r="J19" s="5">
        <v>-79230000</v>
      </c>
      <c r="K19" s="5">
        <v>-89830000</v>
      </c>
      <c r="L19" s="5">
        <v>-90370000</v>
      </c>
      <c r="M19" s="5">
        <v>-83278000</v>
      </c>
      <c r="N19" s="5">
        <v>-78306000</v>
      </c>
    </row>
    <row r="20" spans="2:19" x14ac:dyDescent="0.2">
      <c r="B20" t="s">
        <v>27</v>
      </c>
      <c r="C20" s="5">
        <v>243000</v>
      </c>
      <c r="D20" s="5">
        <v>37000</v>
      </c>
      <c r="E20" s="5">
        <v>18000</v>
      </c>
      <c r="F20" s="5"/>
      <c r="G20" s="5">
        <v>22000</v>
      </c>
      <c r="H20" s="5">
        <v>25000</v>
      </c>
      <c r="I20" s="5">
        <v>25000</v>
      </c>
      <c r="K20" s="5">
        <v>106000</v>
      </c>
      <c r="L20" s="5">
        <v>1460000</v>
      </c>
      <c r="M20" s="5">
        <v>1905000</v>
      </c>
    </row>
    <row r="21" spans="2:19" x14ac:dyDescent="0.2">
      <c r="B21" t="s">
        <v>28</v>
      </c>
      <c r="C21" s="5">
        <v>-835000</v>
      </c>
      <c r="D21" s="5">
        <v>-793000</v>
      </c>
      <c r="E21" s="5">
        <v>-815000</v>
      </c>
      <c r="F21" s="5"/>
      <c r="G21" s="5">
        <v>-1499000</v>
      </c>
      <c r="H21" s="5"/>
      <c r="I21" s="5">
        <v>-3000</v>
      </c>
      <c r="K21" s="5">
        <v>-933000</v>
      </c>
      <c r="L21" s="5">
        <v>-2928000</v>
      </c>
      <c r="M21" s="5">
        <v>-2606000</v>
      </c>
    </row>
    <row r="22" spans="2:19" x14ac:dyDescent="0.2">
      <c r="B22" t="s">
        <v>29</v>
      </c>
      <c r="C22" s="5">
        <v>535000</v>
      </c>
      <c r="D22" s="5">
        <v>-11516000</v>
      </c>
      <c r="E22" s="5">
        <v>-7320000</v>
      </c>
      <c r="F22" s="5"/>
      <c r="G22" s="5">
        <v>9237000</v>
      </c>
      <c r="H22" s="5"/>
      <c r="I22" s="5"/>
    </row>
    <row r="23" spans="2:19" x14ac:dyDescent="0.2">
      <c r="B23" t="s">
        <v>30</v>
      </c>
      <c r="C23" s="5"/>
      <c r="D23" s="5"/>
      <c r="E23" s="5"/>
      <c r="F23" s="5"/>
      <c r="G23" s="5">
        <v>43761000</v>
      </c>
      <c r="H23" s="5">
        <v>-10421000</v>
      </c>
      <c r="I23" s="5">
        <v>-2429000</v>
      </c>
      <c r="K23" s="5">
        <v>-24000</v>
      </c>
    </row>
    <row r="24" spans="2:19" x14ac:dyDescent="0.2">
      <c r="B24" t="s">
        <v>31</v>
      </c>
      <c r="C24" s="5"/>
      <c r="D24" s="5"/>
      <c r="E24" s="5"/>
      <c r="F24" s="5"/>
      <c r="G24" s="5">
        <v>84420000</v>
      </c>
      <c r="H24" s="5"/>
      <c r="I24" s="5"/>
    </row>
    <row r="25" spans="2:19" x14ac:dyDescent="0.2">
      <c r="B25" t="s">
        <v>32</v>
      </c>
      <c r="C25" s="5"/>
      <c r="D25" s="5"/>
      <c r="E25" s="5"/>
      <c r="F25" s="5"/>
      <c r="G25" s="5">
        <v>-7031000</v>
      </c>
      <c r="H25" s="5"/>
      <c r="I25" s="5"/>
    </row>
    <row r="26" spans="2:19" x14ac:dyDescent="0.2">
      <c r="B26" t="s">
        <v>33</v>
      </c>
      <c r="C26" s="5">
        <v>-432000</v>
      </c>
      <c r="D26" s="5">
        <v>563000</v>
      </c>
      <c r="E26" s="5">
        <v>-85000</v>
      </c>
      <c r="F26" s="5"/>
      <c r="G26" s="5">
        <v>15000</v>
      </c>
      <c r="H26" s="5">
        <v>-189000</v>
      </c>
      <c r="I26" s="5">
        <v>-2025000</v>
      </c>
      <c r="K26" s="5">
        <v>-447000</v>
      </c>
      <c r="L26" s="5">
        <v>-1254000</v>
      </c>
      <c r="M26" s="5">
        <v>-943000</v>
      </c>
    </row>
    <row r="27" spans="2:19" x14ac:dyDescent="0.2">
      <c r="B27" t="s">
        <v>34</v>
      </c>
      <c r="C27" s="5">
        <v>-30041000</v>
      </c>
      <c r="D27" s="5">
        <v>-35239000</v>
      </c>
      <c r="E27" s="5">
        <v>-40792000</v>
      </c>
      <c r="F27" s="5"/>
      <c r="G27" s="5">
        <v>82327000</v>
      </c>
      <c r="H27" s="5">
        <v>-84873000</v>
      </c>
      <c r="I27" s="5">
        <v>69756000</v>
      </c>
      <c r="J27" s="5">
        <v>-62868000</v>
      </c>
      <c r="K27" s="5">
        <v>-91128000</v>
      </c>
      <c r="L27" s="5">
        <v>-93092000</v>
      </c>
      <c r="M27" s="5">
        <v>-84922000</v>
      </c>
      <c r="N27" s="5">
        <v>-78133000</v>
      </c>
    </row>
    <row r="28" spans="2:19" x14ac:dyDescent="0.2">
      <c r="B28" t="s">
        <v>35</v>
      </c>
      <c r="C28" s="5">
        <v>-57000</v>
      </c>
      <c r="D28" s="5">
        <v>-48000</v>
      </c>
      <c r="E28" s="5">
        <v>-98000</v>
      </c>
      <c r="F28" s="5"/>
      <c r="G28" s="5">
        <v>-38000</v>
      </c>
      <c r="H28" s="5">
        <v>-65000</v>
      </c>
      <c r="I28" s="5">
        <v>314000</v>
      </c>
      <c r="K28" s="5">
        <v>1862000</v>
      </c>
      <c r="L28" s="5">
        <v>392000</v>
      </c>
      <c r="M28" s="5">
        <v>442000</v>
      </c>
    </row>
    <row r="29" spans="2:19" x14ac:dyDescent="0.2">
      <c r="B29" s="22" t="s">
        <v>36</v>
      </c>
      <c r="C29" s="23">
        <v>-30098000</v>
      </c>
      <c r="D29" s="23">
        <v>-35287000</v>
      </c>
      <c r="E29" s="23">
        <v>-40890000</v>
      </c>
      <c r="F29" s="23"/>
      <c r="G29" s="23">
        <v>82289000</v>
      </c>
      <c r="H29" s="23">
        <v>-84938000</v>
      </c>
      <c r="I29" s="23">
        <v>-69442000</v>
      </c>
      <c r="J29" s="23">
        <v>-60149000</v>
      </c>
      <c r="K29" s="23">
        <v>-89266000</v>
      </c>
      <c r="L29" s="23">
        <v>-92700000</v>
      </c>
      <c r="M29" s="23">
        <v>-84480000</v>
      </c>
      <c r="N29" s="23">
        <v>-78662000</v>
      </c>
      <c r="O29" s="24"/>
      <c r="P29" s="24"/>
      <c r="Q29" s="24"/>
      <c r="R29" s="24"/>
      <c r="S29" s="24"/>
    </row>
    <row r="31" spans="2:19" x14ac:dyDescent="0.2">
      <c r="B31" s="25" t="s">
        <v>68</v>
      </c>
      <c r="D31" s="12">
        <f>D48/C48-1</f>
        <v>-9.0276402803627254E-2</v>
      </c>
      <c r="E31" s="12">
        <f t="shared" ref="E31:F31" si="0">E48/D48-1</f>
        <v>0.89187424504586854</v>
      </c>
      <c r="F31" s="12">
        <f t="shared" si="0"/>
        <v>1.0915846994535521</v>
      </c>
    </row>
    <row r="32" spans="2:19" x14ac:dyDescent="0.2">
      <c r="B32" s="25" t="s">
        <v>69</v>
      </c>
      <c r="D32" s="12">
        <f>D49/C49-1</f>
        <v>0.40210853784998268</v>
      </c>
      <c r="E32" s="12">
        <f t="shared" ref="E32:F32" si="1">E49/D49-1</f>
        <v>0.31923181224268427</v>
      </c>
      <c r="F32" s="12">
        <f t="shared" si="1"/>
        <v>0.59396023321871727</v>
      </c>
    </row>
    <row r="33" spans="2:23" x14ac:dyDescent="0.2">
      <c r="B33" s="25" t="s">
        <v>70</v>
      </c>
      <c r="D33" s="12">
        <f>D50/C50-1</f>
        <v>-3.6986207369793411E-2</v>
      </c>
      <c r="E33" s="12">
        <f t="shared" ref="E33:F33" si="2">E50/D50-1</f>
        <v>-2.7789653698161554E-2</v>
      </c>
      <c r="F33" s="12">
        <f t="shared" si="2"/>
        <v>0.40545294635004403</v>
      </c>
    </row>
    <row r="34" spans="2:23" x14ac:dyDescent="0.2">
      <c r="B34" s="25"/>
      <c r="D34" s="12"/>
      <c r="E34" s="12"/>
      <c r="F34" s="12"/>
    </row>
    <row r="35" spans="2:23" x14ac:dyDescent="0.2">
      <c r="B35" t="s">
        <v>80</v>
      </c>
      <c r="D35" s="12">
        <f>D52/C52-1</f>
        <v>-0.17799697942231452</v>
      </c>
      <c r="E35" s="12">
        <f t="shared" ref="E35:F35" si="3">E52/D52-1</f>
        <v>0.69163901105841563</v>
      </c>
      <c r="F35" s="12">
        <f t="shared" si="3"/>
        <v>1.1629319883513336</v>
      </c>
    </row>
    <row r="36" spans="2:23" x14ac:dyDescent="0.2">
      <c r="B36" t="s">
        <v>81</v>
      </c>
      <c r="D36" s="12">
        <f>D53/C53-1</f>
        <v>0.25492489534597396</v>
      </c>
      <c r="E36" s="12">
        <f t="shared" ref="E36:F36" si="4">E53/D53-1</f>
        <v>0.53004660289428496</v>
      </c>
      <c r="F36" s="12">
        <f t="shared" si="4"/>
        <v>0.64847707598589288</v>
      </c>
    </row>
    <row r="37" spans="2:23" x14ac:dyDescent="0.2">
      <c r="B37" t="s">
        <v>82</v>
      </c>
      <c r="D37" s="12">
        <f>D54/C54-1</f>
        <v>0.41594777337374689</v>
      </c>
      <c r="E37" s="12">
        <f t="shared" ref="E37:F37" si="5">E54/D54-1</f>
        <v>0.477029474724189</v>
      </c>
      <c r="F37" s="12">
        <f t="shared" si="5"/>
        <v>0.35083612040133771</v>
      </c>
    </row>
    <row r="38" spans="2:23" x14ac:dyDescent="0.2">
      <c r="D38" s="12"/>
      <c r="E38" s="12"/>
      <c r="F38" s="12"/>
    </row>
    <row r="39" spans="2:23" x14ac:dyDescent="0.2">
      <c r="B39" t="s">
        <v>86</v>
      </c>
      <c r="C39" s="9">
        <f>C48-C52</f>
        <v>-4928000</v>
      </c>
      <c r="D39" s="9">
        <f t="shared" ref="D39:F39" si="6">D48-D52</f>
        <v>4810000</v>
      </c>
      <c r="E39" s="9">
        <f t="shared" si="6"/>
        <v>26537000</v>
      </c>
      <c r="F39" s="9">
        <f t="shared" si="6"/>
        <v>44994000</v>
      </c>
    </row>
    <row r="40" spans="2:23" x14ac:dyDescent="0.2">
      <c r="B40" t="s">
        <v>87</v>
      </c>
      <c r="C40" s="9">
        <f>C49-C53</f>
        <v>12686000</v>
      </c>
      <c r="D40" s="9">
        <f t="shared" ref="D40:F40" si="7">D49-D53</f>
        <v>20178000</v>
      </c>
      <c r="E40" s="9">
        <f t="shared" si="7"/>
        <v>22322000</v>
      </c>
      <c r="F40" s="9">
        <f t="shared" si="7"/>
        <v>33880000</v>
      </c>
    </row>
    <row r="41" spans="2:23" x14ac:dyDescent="0.2">
      <c r="B41" t="s">
        <v>88</v>
      </c>
      <c r="C41" s="9">
        <f>C50-C54</f>
        <v>10284000</v>
      </c>
      <c r="D41" s="9">
        <f t="shared" ref="D41:F41" si="8">D50-D54</f>
        <v>7961000</v>
      </c>
      <c r="E41" s="9">
        <f t="shared" si="8"/>
        <v>4674000</v>
      </c>
      <c r="F41" s="9">
        <f t="shared" si="8"/>
        <v>7059000</v>
      </c>
    </row>
    <row r="43" spans="2:23" x14ac:dyDescent="0.2">
      <c r="B43" t="s">
        <v>83</v>
      </c>
      <c r="C43" s="12">
        <f>C39/C48</f>
        <v>-4.8786282817883025E-2</v>
      </c>
      <c r="D43" s="12">
        <f t="shared" ref="D43:F43" si="9">D39/D48</f>
        <v>5.2343486446192855E-2</v>
      </c>
      <c r="E43" s="12">
        <f t="shared" si="9"/>
        <v>0.15264308311763014</v>
      </c>
      <c r="F43" s="12">
        <f t="shared" si="9"/>
        <v>0.12373838766631282</v>
      </c>
    </row>
    <row r="44" spans="2:23" x14ac:dyDescent="0.2">
      <c r="B44" t="s">
        <v>84</v>
      </c>
      <c r="C44" s="12">
        <f>C40/C49</f>
        <v>0.43850674040788107</v>
      </c>
      <c r="D44" s="12">
        <f t="shared" ref="D44:F44" si="10">D40/D49</f>
        <v>0.49744841357887731</v>
      </c>
      <c r="E44" s="12">
        <f t="shared" si="10"/>
        <v>0.417140080729556</v>
      </c>
      <c r="F44" s="12">
        <f t="shared" si="10"/>
        <v>0.39720502719939976</v>
      </c>
    </row>
    <row r="45" spans="2:23" x14ac:dyDescent="0.2">
      <c r="B45" t="s">
        <v>85</v>
      </c>
      <c r="C45" s="12">
        <f>C41/C50</f>
        <v>0.70568860220956564</v>
      </c>
      <c r="D45" s="12">
        <f t="shared" ref="D45:F45" si="11">D41/D50</f>
        <v>0.56726521305401167</v>
      </c>
      <c r="E45" s="12">
        <f t="shared" si="11"/>
        <v>0.34256816182937555</v>
      </c>
      <c r="F45" s="12">
        <f t="shared" si="11"/>
        <v>0.36811639549436798</v>
      </c>
    </row>
    <row r="47" spans="2:23" x14ac:dyDescent="0.2">
      <c r="C47" s="2" t="s">
        <v>37</v>
      </c>
      <c r="D47" s="2" t="s">
        <v>38</v>
      </c>
      <c r="E47" s="2" t="s">
        <v>39</v>
      </c>
      <c r="F47" s="2" t="s">
        <v>40</v>
      </c>
      <c r="G47" s="2" t="s">
        <v>41</v>
      </c>
      <c r="H47" s="2" t="s">
        <v>42</v>
      </c>
      <c r="I47" s="2" t="s">
        <v>43</v>
      </c>
      <c r="J47" s="2" t="s">
        <v>44</v>
      </c>
      <c r="K47" s="2" t="s">
        <v>45</v>
      </c>
      <c r="L47" s="2" t="s">
        <v>46</v>
      </c>
      <c r="M47" s="2" t="s">
        <v>47</v>
      </c>
      <c r="N47" s="2" t="s">
        <v>48</v>
      </c>
      <c r="O47" s="2" t="s">
        <v>49</v>
      </c>
      <c r="P47" s="2" t="s">
        <v>50</v>
      </c>
      <c r="Q47" s="2" t="s">
        <v>51</v>
      </c>
      <c r="R47" s="2" t="s">
        <v>52</v>
      </c>
      <c r="S47" s="2" t="s">
        <v>53</v>
      </c>
      <c r="T47" s="2" t="s">
        <v>54</v>
      </c>
      <c r="U47" s="2" t="s">
        <v>55</v>
      </c>
      <c r="V47" s="2" t="s">
        <v>56</v>
      </c>
      <c r="W47" s="2" t="s">
        <v>57</v>
      </c>
    </row>
    <row r="48" spans="2:23" x14ac:dyDescent="0.2">
      <c r="B48" t="s">
        <v>0</v>
      </c>
      <c r="C48" s="5">
        <v>101012000</v>
      </c>
      <c r="D48" s="5">
        <v>91893000</v>
      </c>
      <c r="E48" s="5">
        <v>173850000</v>
      </c>
      <c r="F48" s="5">
        <v>363622000</v>
      </c>
    </row>
    <row r="49" spans="2:23" x14ac:dyDescent="0.2">
      <c r="B49" t="s">
        <v>2</v>
      </c>
      <c r="C49" s="5">
        <v>28930000</v>
      </c>
      <c r="D49" s="5">
        <v>40563000</v>
      </c>
      <c r="E49" s="5">
        <v>53512000</v>
      </c>
      <c r="F49" s="5">
        <v>85296000</v>
      </c>
    </row>
    <row r="50" spans="2:23" x14ac:dyDescent="0.2">
      <c r="B50" t="s">
        <v>1</v>
      </c>
      <c r="C50" s="5">
        <v>14573000</v>
      </c>
      <c r="D50" s="5">
        <v>14034000</v>
      </c>
      <c r="E50" s="5">
        <v>13644000</v>
      </c>
      <c r="F50" s="5">
        <v>19176000</v>
      </c>
    </row>
    <row r="51" spans="2:23" x14ac:dyDescent="0.2">
      <c r="B51" s="3" t="s">
        <v>58</v>
      </c>
      <c r="C51" s="5">
        <f>C48+C49+C50</f>
        <v>144515000</v>
      </c>
      <c r="D51" s="5">
        <f t="shared" ref="D51:W51" si="12">D48+D49+D50</f>
        <v>146490000</v>
      </c>
      <c r="E51" s="5">
        <f t="shared" si="12"/>
        <v>241006000</v>
      </c>
      <c r="F51" s="5">
        <f t="shared" si="12"/>
        <v>468094000</v>
      </c>
      <c r="G51" s="5">
        <v>706000000</v>
      </c>
      <c r="H51" s="5">
        <v>1100000000</v>
      </c>
      <c r="I51" s="5">
        <v>1500000000</v>
      </c>
      <c r="J51" s="5">
        <v>2000000000</v>
      </c>
      <c r="K51" s="9">
        <f>J51*K75+J51</f>
        <v>2500000000</v>
      </c>
      <c r="L51" s="9">
        <f>K51*L75+K51</f>
        <v>3000000000</v>
      </c>
      <c r="M51" s="9">
        <f>L51*M75+L51</f>
        <v>3600000000</v>
      </c>
      <c r="N51" s="9">
        <f>M51*N75+M51</f>
        <v>4320000000</v>
      </c>
      <c r="O51" s="9">
        <f>N51*O75+N51</f>
        <v>5184000000</v>
      </c>
      <c r="P51" s="9">
        <f>O51*P75+O51</f>
        <v>5546880000</v>
      </c>
      <c r="Q51" s="9">
        <f>P51*Q75+P51</f>
        <v>5935161600</v>
      </c>
      <c r="R51" s="9">
        <f>Q51*R75+Q51</f>
        <v>6350622912</v>
      </c>
      <c r="S51" s="9">
        <f>R51*S75+R51</f>
        <v>6795166515.8400002</v>
      </c>
      <c r="T51" s="9">
        <f>S51*T75+S51</f>
        <v>7270828171.9488001</v>
      </c>
      <c r="U51" s="9">
        <f>T51*U75+T51</f>
        <v>7779786143.9852161</v>
      </c>
      <c r="V51" s="9">
        <f>U51*V75+U51</f>
        <v>8324371174.0641813</v>
      </c>
      <c r="W51" s="9">
        <f>V51*W75+V51</f>
        <v>8907077156.2486744</v>
      </c>
    </row>
    <row r="52" spans="2:23" x14ac:dyDescent="0.2">
      <c r="B52" t="s">
        <v>64</v>
      </c>
      <c r="C52" s="5">
        <v>105940000</v>
      </c>
      <c r="D52" s="5">
        <v>87083000</v>
      </c>
      <c r="E52" s="5">
        <v>147313000</v>
      </c>
      <c r="F52" s="5">
        <v>318628000</v>
      </c>
    </row>
    <row r="53" spans="2:23" x14ac:dyDescent="0.2">
      <c r="B53" t="s">
        <v>65</v>
      </c>
      <c r="C53" s="5">
        <v>16244000</v>
      </c>
      <c r="D53" s="5">
        <v>20385000</v>
      </c>
      <c r="E53" s="5">
        <v>31190000</v>
      </c>
      <c r="F53" s="5">
        <v>51416000</v>
      </c>
    </row>
    <row r="54" spans="2:23" x14ac:dyDescent="0.2">
      <c r="B54" t="s">
        <v>66</v>
      </c>
      <c r="C54" s="5">
        <v>4289000</v>
      </c>
      <c r="D54" s="5">
        <v>6073000</v>
      </c>
      <c r="E54" s="5">
        <v>8970000</v>
      </c>
      <c r="F54" s="5">
        <v>12117000</v>
      </c>
    </row>
    <row r="55" spans="2:23" x14ac:dyDescent="0.2">
      <c r="B55" s="4" t="s">
        <v>3</v>
      </c>
      <c r="C55" s="9">
        <f>C54+C53+C52</f>
        <v>126473000</v>
      </c>
      <c r="D55" s="9">
        <f t="shared" ref="D55:W55" si="13">D54+D53+D52</f>
        <v>113541000</v>
      </c>
      <c r="E55" s="9">
        <f t="shared" si="13"/>
        <v>187473000</v>
      </c>
      <c r="F55" s="9">
        <f t="shared" si="13"/>
        <v>382161000</v>
      </c>
      <c r="G55" s="9">
        <f>G51-(G51*G76)</f>
        <v>529500000</v>
      </c>
      <c r="H55" s="9">
        <f t="shared" ref="H55:W55" si="14">H51-(H51*H76)</f>
        <v>814000000</v>
      </c>
      <c r="I55" s="9">
        <f t="shared" si="14"/>
        <v>1095000000</v>
      </c>
      <c r="J55" s="9">
        <f t="shared" si="14"/>
        <v>1440000000</v>
      </c>
      <c r="K55" s="9">
        <f t="shared" si="14"/>
        <v>1775000000</v>
      </c>
      <c r="L55" s="9">
        <f t="shared" si="14"/>
        <v>2100000000</v>
      </c>
      <c r="M55" s="9">
        <f t="shared" si="14"/>
        <v>2520000000</v>
      </c>
      <c r="N55" s="9">
        <f t="shared" si="14"/>
        <v>3024000000</v>
      </c>
      <c r="O55" s="9">
        <f t="shared" si="14"/>
        <v>3628800000</v>
      </c>
      <c r="P55" s="9">
        <f t="shared" si="14"/>
        <v>3882816000</v>
      </c>
      <c r="Q55" s="9">
        <f t="shared" si="14"/>
        <v>4154613120</v>
      </c>
      <c r="R55" s="9">
        <f t="shared" si="14"/>
        <v>4445436038.3999996</v>
      </c>
      <c r="S55" s="9">
        <f t="shared" si="14"/>
        <v>4756616561.0880003</v>
      </c>
      <c r="T55" s="9">
        <f t="shared" si="14"/>
        <v>5089579720.3641605</v>
      </c>
      <c r="U55" s="9">
        <f t="shared" si="14"/>
        <v>5445850300.7896519</v>
      </c>
      <c r="V55" s="9">
        <f t="shared" si="14"/>
        <v>5827059821.8449268</v>
      </c>
      <c r="W55" s="9">
        <f t="shared" si="14"/>
        <v>6234954009.3740721</v>
      </c>
    </row>
    <row r="56" spans="2:23" x14ac:dyDescent="0.2">
      <c r="B56" s="2" t="s">
        <v>21</v>
      </c>
      <c r="C56" s="9">
        <f>C51-C55</f>
        <v>18042000</v>
      </c>
      <c r="D56" s="9">
        <f t="shared" ref="D56:W56" si="15">D51-D55</f>
        <v>32949000</v>
      </c>
      <c r="E56" s="9">
        <f t="shared" si="15"/>
        <v>53533000</v>
      </c>
      <c r="F56" s="9">
        <f t="shared" si="15"/>
        <v>85933000</v>
      </c>
      <c r="G56" s="9">
        <f t="shared" si="15"/>
        <v>176500000</v>
      </c>
      <c r="H56" s="9">
        <f t="shared" si="15"/>
        <v>286000000</v>
      </c>
      <c r="I56" s="9">
        <f t="shared" si="15"/>
        <v>405000000</v>
      </c>
      <c r="J56" s="9">
        <f t="shared" si="15"/>
        <v>560000000</v>
      </c>
      <c r="K56" s="9">
        <f t="shared" si="15"/>
        <v>725000000</v>
      </c>
      <c r="L56" s="9">
        <f t="shared" si="15"/>
        <v>900000000</v>
      </c>
      <c r="M56" s="9">
        <f t="shared" si="15"/>
        <v>1080000000</v>
      </c>
      <c r="N56" s="9">
        <f t="shared" si="15"/>
        <v>1296000000</v>
      </c>
      <c r="O56" s="9">
        <f t="shared" si="15"/>
        <v>1555200000</v>
      </c>
      <c r="P56" s="9">
        <f t="shared" si="15"/>
        <v>1664064000</v>
      </c>
      <c r="Q56" s="9">
        <f t="shared" si="15"/>
        <v>1780548480</v>
      </c>
      <c r="R56" s="9">
        <f t="shared" si="15"/>
        <v>1905186873.6000004</v>
      </c>
      <c r="S56" s="9">
        <f t="shared" si="15"/>
        <v>2038549954.7519999</v>
      </c>
      <c r="T56" s="9">
        <f t="shared" si="15"/>
        <v>2181248451.5846395</v>
      </c>
      <c r="U56" s="9">
        <f t="shared" si="15"/>
        <v>2333935843.1955643</v>
      </c>
      <c r="V56" s="9">
        <f t="shared" si="15"/>
        <v>2497311352.2192545</v>
      </c>
      <c r="W56" s="9">
        <f t="shared" si="15"/>
        <v>2672123146.8746023</v>
      </c>
    </row>
    <row r="57" spans="2:23" x14ac:dyDescent="0.2">
      <c r="B57" t="s">
        <v>22</v>
      </c>
      <c r="C57" s="9">
        <v>69464000</v>
      </c>
      <c r="D57" s="9">
        <v>75017000</v>
      </c>
      <c r="E57" s="9">
        <v>145043000</v>
      </c>
      <c r="F57" s="9">
        <v>194957000</v>
      </c>
    </row>
    <row r="58" spans="2:23" x14ac:dyDescent="0.2">
      <c r="B58" t="s">
        <v>23</v>
      </c>
      <c r="C58" s="9">
        <v>56997000</v>
      </c>
      <c r="D58" s="9">
        <v>53002000</v>
      </c>
      <c r="E58" s="9">
        <v>92550000</v>
      </c>
      <c r="F58" s="9">
        <v>142392000</v>
      </c>
    </row>
    <row r="59" spans="2:23" x14ac:dyDescent="0.2">
      <c r="B59" t="s">
        <v>24</v>
      </c>
      <c r="C59" s="9">
        <v>23945000</v>
      </c>
      <c r="D59" s="9">
        <v>25922000</v>
      </c>
      <c r="E59" s="9">
        <v>81380000</v>
      </c>
      <c r="F59" s="9">
        <v>90366000</v>
      </c>
    </row>
    <row r="60" spans="2:23" x14ac:dyDescent="0.2">
      <c r="B60" s="2" t="s">
        <v>26</v>
      </c>
      <c r="C60" s="9">
        <f>C57+C58+C59</f>
        <v>150406000</v>
      </c>
      <c r="D60" s="9">
        <f t="shared" ref="D60:F60" si="16">D57+D58+D59</f>
        <v>153941000</v>
      </c>
      <c r="E60" s="9">
        <f t="shared" si="16"/>
        <v>318973000</v>
      </c>
      <c r="F60" s="9">
        <f t="shared" si="16"/>
        <v>427715000</v>
      </c>
      <c r="G60" s="9">
        <f>F60*I79+F60</f>
        <v>491872250</v>
      </c>
      <c r="H60" s="9">
        <f>G60*I79+G60</f>
        <v>565653087.5</v>
      </c>
      <c r="I60" s="9">
        <f>H60*I79+H60</f>
        <v>650501050.625</v>
      </c>
      <c r="J60" s="9">
        <f>I60*I79+I60</f>
        <v>748076208.21875</v>
      </c>
      <c r="K60" s="9">
        <f>J60*I79+J60</f>
        <v>860287639.45156252</v>
      </c>
      <c r="L60" s="9">
        <f>K60*J79+K60</f>
        <v>903302021.42414069</v>
      </c>
      <c r="M60" s="9">
        <f>L60*J79+L60</f>
        <v>948467122.49534774</v>
      </c>
      <c r="N60" s="9">
        <f>M60*J79+M60</f>
        <v>995890478.62011516</v>
      </c>
      <c r="O60" s="9">
        <f>N60*J79+N60</f>
        <v>1045685002.5511209</v>
      </c>
      <c r="P60" s="9">
        <f>O60*J79+O60</f>
        <v>1097969252.6786768</v>
      </c>
      <c r="Q60" s="9">
        <f>P60*J79+P60</f>
        <v>1152867715.3126106</v>
      </c>
      <c r="R60" s="9">
        <f>Q60*J79+Q60</f>
        <v>1210511101.0782411</v>
      </c>
      <c r="S60" s="9">
        <f>R60*J79+R60</f>
        <v>1271036656.1321533</v>
      </c>
      <c r="T60" s="9">
        <f>S60*J79+S60</f>
        <v>1334588488.938761</v>
      </c>
      <c r="U60" s="9">
        <f>T60*J79+T60</f>
        <v>1401317913.385699</v>
      </c>
      <c r="V60" s="9">
        <f>U60*J79+U60</f>
        <v>1471383809.0549841</v>
      </c>
      <c r="W60" s="9">
        <f>V60*J79+V60</f>
        <v>1544952999.5077333</v>
      </c>
    </row>
    <row r="61" spans="2:23" x14ac:dyDescent="0.2">
      <c r="B61" s="2" t="s">
        <v>25</v>
      </c>
      <c r="C61" s="9">
        <f>C56-C60</f>
        <v>-132364000</v>
      </c>
      <c r="D61" s="9">
        <f>D56-D60</f>
        <v>-120992000</v>
      </c>
      <c r="E61" s="9">
        <f>E56-E60</f>
        <v>-265440000</v>
      </c>
      <c r="F61" s="9">
        <f>F56-F60</f>
        <v>-341782000</v>
      </c>
      <c r="G61" s="9">
        <f>G56-G60</f>
        <v>-315372250</v>
      </c>
      <c r="H61" s="9">
        <f t="shared" ref="H61:W61" si="17">H56-H60</f>
        <v>-279653087.5</v>
      </c>
      <c r="I61" s="9">
        <f t="shared" si="17"/>
        <v>-245501050.625</v>
      </c>
      <c r="J61" s="9">
        <f t="shared" si="17"/>
        <v>-188076208.21875</v>
      </c>
      <c r="K61" s="9">
        <f t="shared" si="17"/>
        <v>-135287639.45156252</v>
      </c>
      <c r="L61" s="9">
        <f t="shared" si="17"/>
        <v>-3302021.4241406918</v>
      </c>
      <c r="M61" s="9">
        <f t="shared" si="17"/>
        <v>131532877.50465226</v>
      </c>
      <c r="N61" s="9">
        <f t="shared" si="17"/>
        <v>300109521.37988484</v>
      </c>
      <c r="O61" s="9">
        <f t="shared" si="17"/>
        <v>509514997.44887912</v>
      </c>
      <c r="P61" s="9">
        <f t="shared" si="17"/>
        <v>566094747.32132316</v>
      </c>
      <c r="Q61" s="9">
        <f t="shared" si="17"/>
        <v>627680764.68738937</v>
      </c>
      <c r="R61" s="9">
        <f t="shared" si="17"/>
        <v>694675772.52175927</v>
      </c>
      <c r="S61" s="9">
        <f t="shared" si="17"/>
        <v>767513298.61984658</v>
      </c>
      <c r="T61" s="9">
        <f t="shared" si="17"/>
        <v>846659962.64587855</v>
      </c>
      <c r="U61" s="9">
        <f t="shared" si="17"/>
        <v>932617929.80986524</v>
      </c>
      <c r="V61" s="9">
        <f t="shared" si="17"/>
        <v>1025927543.1642704</v>
      </c>
      <c r="W61" s="9">
        <f t="shared" si="17"/>
        <v>1127170147.366869</v>
      </c>
    </row>
    <row r="62" spans="2:23" x14ac:dyDescent="0.2">
      <c r="B62" t="s">
        <v>27</v>
      </c>
      <c r="C62" s="9">
        <v>3245000</v>
      </c>
      <c r="D62" s="9">
        <v>315000</v>
      </c>
      <c r="E62" s="9">
        <v>98000</v>
      </c>
      <c r="F62" s="9">
        <v>5534000</v>
      </c>
    </row>
    <row r="63" spans="2:23" x14ac:dyDescent="0.2">
      <c r="B63" t="s">
        <v>28</v>
      </c>
      <c r="C63" s="9">
        <v>-3544000</v>
      </c>
      <c r="D63" s="9">
        <v>-3253000</v>
      </c>
      <c r="E63" s="9">
        <v>-1502000</v>
      </c>
      <c r="F63" s="9">
        <v>-9434000</v>
      </c>
    </row>
    <row r="64" spans="2:23" x14ac:dyDescent="0.2">
      <c r="B64" t="s">
        <v>29</v>
      </c>
      <c r="C64" s="9">
        <v>-875000</v>
      </c>
      <c r="D64" s="9">
        <v>-73125000</v>
      </c>
      <c r="E64" s="9">
        <v>9237000</v>
      </c>
    </row>
    <row r="65" spans="2:49" x14ac:dyDescent="0.2">
      <c r="B65" t="s">
        <v>30</v>
      </c>
      <c r="C65" s="5"/>
      <c r="D65" s="5"/>
      <c r="E65" s="9">
        <v>47822000</v>
      </c>
      <c r="F65" s="5">
        <v>-24000</v>
      </c>
    </row>
    <row r="66" spans="2:49" x14ac:dyDescent="0.2">
      <c r="B66" t="s">
        <v>31</v>
      </c>
      <c r="C66" s="5"/>
      <c r="D66" s="5"/>
      <c r="E66" s="9">
        <v>84420000</v>
      </c>
    </row>
    <row r="67" spans="2:49" x14ac:dyDescent="0.2">
      <c r="B67" t="s">
        <v>32</v>
      </c>
      <c r="C67" s="5"/>
      <c r="D67" s="5"/>
      <c r="E67" s="9">
        <v>-7031000</v>
      </c>
    </row>
    <row r="68" spans="2:49" x14ac:dyDescent="0.2">
      <c r="B68" t="s">
        <v>33</v>
      </c>
      <c r="C68" s="5">
        <v>565000</v>
      </c>
      <c r="D68" s="5">
        <v>229000</v>
      </c>
      <c r="E68" s="9">
        <v>-2775000</v>
      </c>
      <c r="F68" s="9">
        <v>-1569000</v>
      </c>
    </row>
    <row r="69" spans="2:49" x14ac:dyDescent="0.2">
      <c r="B69" t="s">
        <v>34</v>
      </c>
      <c r="C69" s="9">
        <v>-134103000</v>
      </c>
      <c r="D69" s="9">
        <f t="shared" ref="C69:D69" si="18">D61+D62+D63+D64+D65+D66+D67+D68</f>
        <v>-196826000</v>
      </c>
      <c r="E69" s="9">
        <f>E61+E62+E63+E64+E65+E66+E67+E68</f>
        <v>-135171000</v>
      </c>
      <c r="F69" s="9">
        <f t="shared" ref="F69:W69" si="19">F61+F62+F63+F64+F65+F66+F67+F68</f>
        <v>-347275000</v>
      </c>
      <c r="G69" s="9">
        <f t="shared" si="19"/>
        <v>-315372250</v>
      </c>
      <c r="H69" s="9">
        <f t="shared" si="19"/>
        <v>-279653087.5</v>
      </c>
      <c r="I69" s="9">
        <f t="shared" si="19"/>
        <v>-245501050.625</v>
      </c>
      <c r="J69" s="9">
        <f t="shared" si="19"/>
        <v>-188076208.21875</v>
      </c>
      <c r="K69" s="9">
        <f t="shared" si="19"/>
        <v>-135287639.45156252</v>
      </c>
      <c r="L69" s="9">
        <f t="shared" si="19"/>
        <v>-3302021.4241406918</v>
      </c>
      <c r="M69" s="9">
        <f t="shared" si="19"/>
        <v>131532877.50465226</v>
      </c>
      <c r="N69" s="9">
        <f t="shared" si="19"/>
        <v>300109521.37988484</v>
      </c>
      <c r="O69" s="9">
        <f t="shared" si="19"/>
        <v>509514997.44887912</v>
      </c>
      <c r="P69" s="9">
        <f t="shared" si="19"/>
        <v>566094747.32132316</v>
      </c>
      <c r="Q69" s="9">
        <f t="shared" si="19"/>
        <v>627680764.68738937</v>
      </c>
      <c r="R69" s="9">
        <f t="shared" si="19"/>
        <v>694675772.52175927</v>
      </c>
      <c r="S69" s="9">
        <f t="shared" si="19"/>
        <v>767513298.61984658</v>
      </c>
      <c r="T69" s="9">
        <f t="shared" si="19"/>
        <v>846659962.64587855</v>
      </c>
      <c r="U69" s="9">
        <f t="shared" si="19"/>
        <v>932617929.80986524</v>
      </c>
      <c r="V69" s="9">
        <f t="shared" si="19"/>
        <v>1025927543.1642704</v>
      </c>
      <c r="W69" s="9">
        <f t="shared" si="19"/>
        <v>1127170147.366869</v>
      </c>
    </row>
    <row r="70" spans="2:49" x14ac:dyDescent="0.2">
      <c r="B70" t="s">
        <v>35</v>
      </c>
      <c r="C70" s="5">
        <v>-224000</v>
      </c>
      <c r="D70" s="5">
        <v>-198000</v>
      </c>
      <c r="E70" s="9">
        <v>2930000</v>
      </c>
      <c r="F70" s="5">
        <v>2167000</v>
      </c>
      <c r="M70" s="5">
        <f>-(M69*C77)</f>
        <v>-27621904.275976975</v>
      </c>
      <c r="N70" s="5">
        <f>-(N69*C77)</f>
        <v>-63022999.489775814</v>
      </c>
      <c r="O70" s="5">
        <f>-(O69*C77)</f>
        <v>-106998149.46426462</v>
      </c>
      <c r="P70" s="5">
        <f>-(P69*C77)</f>
        <v>-118879896.93747786</v>
      </c>
      <c r="Q70" s="5">
        <f>-(Q69*C77)</f>
        <v>-131812960.58435176</v>
      </c>
      <c r="R70" s="5">
        <f>-(R69*C77)</f>
        <v>-145881912.22956944</v>
      </c>
      <c r="S70" s="5">
        <f>-(S69*C77)</f>
        <v>-161177792.71016777</v>
      </c>
      <c r="T70" s="5">
        <f>-(T69*C77)</f>
        <v>-177798592.15563449</v>
      </c>
      <c r="U70" s="5">
        <f>-(U69*C77)</f>
        <v>-195849765.26007169</v>
      </c>
      <c r="V70" s="5">
        <f>-(V69*C77)</f>
        <v>-215444784.06449679</v>
      </c>
      <c r="W70" s="5">
        <f>-(W69*C77)</f>
        <v>-236705730.94704247</v>
      </c>
    </row>
    <row r="71" spans="2:49" x14ac:dyDescent="0.2">
      <c r="B71" s="10" t="s">
        <v>36</v>
      </c>
      <c r="C71" s="11">
        <f>C69+C70</f>
        <v>-134327000</v>
      </c>
      <c r="D71" s="11">
        <f t="shared" ref="D71:W71" si="20">D69+D70</f>
        <v>-197024000</v>
      </c>
      <c r="E71" s="11">
        <f t="shared" si="20"/>
        <v>-132241000</v>
      </c>
      <c r="F71" s="11">
        <f t="shared" si="20"/>
        <v>-345108000</v>
      </c>
      <c r="G71" s="11">
        <f t="shared" si="20"/>
        <v>-315372250</v>
      </c>
      <c r="H71" s="11">
        <f t="shared" si="20"/>
        <v>-279653087.5</v>
      </c>
      <c r="I71" s="11">
        <f t="shared" si="20"/>
        <v>-245501050.625</v>
      </c>
      <c r="J71" s="11">
        <f t="shared" si="20"/>
        <v>-188076208.21875</v>
      </c>
      <c r="K71" s="11">
        <f t="shared" si="20"/>
        <v>-135287639.45156252</v>
      </c>
      <c r="L71" s="11">
        <f t="shared" si="20"/>
        <v>-3302021.4241406918</v>
      </c>
      <c r="M71" s="11">
        <f t="shared" si="20"/>
        <v>103910973.22867529</v>
      </c>
      <c r="N71" s="11">
        <f t="shared" si="20"/>
        <v>237086521.89010903</v>
      </c>
      <c r="O71" s="11">
        <f t="shared" si="20"/>
        <v>402516847.98461449</v>
      </c>
      <c r="P71" s="11">
        <f t="shared" si="20"/>
        <v>447214850.38384533</v>
      </c>
      <c r="Q71" s="11">
        <f t="shared" si="20"/>
        <v>495867804.1030376</v>
      </c>
      <c r="R71" s="11">
        <f t="shared" si="20"/>
        <v>548793860.29218984</v>
      </c>
      <c r="S71" s="11">
        <f t="shared" si="20"/>
        <v>606335505.90967882</v>
      </c>
      <c r="T71" s="11">
        <f t="shared" si="20"/>
        <v>668861370.49024403</v>
      </c>
      <c r="U71" s="11">
        <f t="shared" si="20"/>
        <v>736768164.54979348</v>
      </c>
      <c r="V71" s="11">
        <f t="shared" si="20"/>
        <v>810482759.09977365</v>
      </c>
      <c r="W71" s="11">
        <f t="shared" si="20"/>
        <v>890464416.41982651</v>
      </c>
      <c r="X71" s="9">
        <f>W71*I81+W71</f>
        <v>881559772.25562823</v>
      </c>
      <c r="Y71" s="9">
        <f>X71*I81+X71</f>
        <v>872744174.53307199</v>
      </c>
      <c r="Z71" s="9">
        <f>Y71*I81+Y71</f>
        <v>864016732.7877413</v>
      </c>
      <c r="AA71" s="9">
        <f>Z71*I81+Z71</f>
        <v>855376565.4598639</v>
      </c>
      <c r="AB71" s="9">
        <f>AA71*I81+AA71</f>
        <v>846822799.80526531</v>
      </c>
      <c r="AC71" s="9">
        <f>AB71*I81+AB71</f>
        <v>838354571.80721271</v>
      </c>
      <c r="AD71" s="9">
        <f>AC71*I81+AC71</f>
        <v>829971026.08914053</v>
      </c>
      <c r="AE71" s="9">
        <f>AD71*I81+AD71</f>
        <v>821671315.8282491</v>
      </c>
      <c r="AF71" s="9">
        <f>AE71*I81+AE71</f>
        <v>813454602.66996658</v>
      </c>
      <c r="AG71" s="9">
        <f>AF71*I81+AF71</f>
        <v>805320056.64326692</v>
      </c>
      <c r="AH71" s="9">
        <f>AG71*I81+AG71</f>
        <v>797266856.0768342</v>
      </c>
      <c r="AI71" s="9">
        <f>AH71*I81+AH71</f>
        <v>789294187.51606584</v>
      </c>
      <c r="AJ71" s="9">
        <f>AI71*I81+AI71</f>
        <v>781401245.64090514</v>
      </c>
      <c r="AK71" s="9">
        <f>AJ71*I81+AJ71</f>
        <v>773587233.18449605</v>
      </c>
      <c r="AL71" s="9">
        <f>AK71*I81+AK71</f>
        <v>765851360.85265112</v>
      </c>
      <c r="AM71" s="9">
        <f>AL71*I81+AL71</f>
        <v>758192847.24412465</v>
      </c>
      <c r="AN71" s="9">
        <f>AM71*I81+AM71</f>
        <v>750610918.77168345</v>
      </c>
      <c r="AO71" s="9">
        <f>AN71*I81+AN71</f>
        <v>743104809.58396661</v>
      </c>
      <c r="AP71" s="9">
        <f>AO71*I81+AO71</f>
        <v>735673761.48812699</v>
      </c>
      <c r="AQ71" s="9">
        <f>AP71*I81+AP71</f>
        <v>728317023.87324572</v>
      </c>
      <c r="AR71" s="9">
        <f>AQ71*I81+AQ71</f>
        <v>721033853.63451326</v>
      </c>
      <c r="AS71" s="9">
        <f>AR71*I81+AR71</f>
        <v>713823515.09816813</v>
      </c>
      <c r="AT71" s="9">
        <f>AS71*I81+AS71</f>
        <v>706685279.94718647</v>
      </c>
      <c r="AU71" s="9">
        <f>AT71*I81+AT71</f>
        <v>699618427.14771461</v>
      </c>
      <c r="AV71" s="9">
        <f>AU71*I81+AU71</f>
        <v>692622242.87623751</v>
      </c>
      <c r="AW71" s="9">
        <f>AV71*I81+AV71</f>
        <v>685696020.44747519</v>
      </c>
    </row>
    <row r="72" spans="2:49" x14ac:dyDescent="0.2">
      <c r="B72" t="s">
        <v>59</v>
      </c>
      <c r="F72" s="5">
        <f>F71/F73</f>
        <v>-1.0195555528008269</v>
      </c>
      <c r="G72" s="5">
        <f t="shared" ref="G72:W72" si="21">G71/G73</f>
        <v>-0.89977817403708982</v>
      </c>
      <c r="H72" s="5">
        <f t="shared" si="21"/>
        <v>-0.79786900855920118</v>
      </c>
      <c r="I72" s="5">
        <f t="shared" si="21"/>
        <v>-0.70043095756062768</v>
      </c>
      <c r="J72" s="5">
        <f t="shared" si="21"/>
        <v>-0.53659403200784594</v>
      </c>
      <c r="K72" s="5">
        <f t="shared" si="21"/>
        <v>-0.38598470599589879</v>
      </c>
      <c r="L72" s="5">
        <f t="shared" si="21"/>
        <v>-9.4208885139534723E-3</v>
      </c>
      <c r="M72" s="5">
        <f t="shared" si="21"/>
        <v>0.29646497354828899</v>
      </c>
      <c r="N72" s="5">
        <f t="shared" si="21"/>
        <v>0.6764237429104395</v>
      </c>
      <c r="O72" s="5">
        <f t="shared" si="21"/>
        <v>1.1484075548776447</v>
      </c>
      <c r="P72" s="5">
        <f t="shared" si="21"/>
        <v>1.2759339525929967</v>
      </c>
      <c r="Q72" s="5">
        <f t="shared" si="21"/>
        <v>1.4147440915921188</v>
      </c>
      <c r="R72" s="5">
        <f t="shared" si="21"/>
        <v>1.5657456784370609</v>
      </c>
      <c r="S72" s="5">
        <f t="shared" si="21"/>
        <v>1.7299158513828212</v>
      </c>
      <c r="T72" s="5">
        <f t="shared" si="21"/>
        <v>1.9083063352075436</v>
      </c>
      <c r="U72" s="5">
        <f t="shared" si="21"/>
        <v>2.1020489716113935</v>
      </c>
      <c r="V72" s="5">
        <f t="shared" si="21"/>
        <v>2.3123616522104813</v>
      </c>
      <c r="W72" s="5">
        <f t="shared" si="21"/>
        <v>2.5405546830808174</v>
      </c>
    </row>
    <row r="73" spans="2:49" x14ac:dyDescent="0.2">
      <c r="B73" t="s">
        <v>60</v>
      </c>
      <c r="F73" s="13">
        <v>338488667</v>
      </c>
      <c r="G73" s="13">
        <v>350500000</v>
      </c>
      <c r="H73" s="13">
        <v>350500000</v>
      </c>
      <c r="I73" s="13">
        <v>350500000</v>
      </c>
      <c r="J73" s="13">
        <v>350500000</v>
      </c>
      <c r="K73" s="13">
        <v>350500000</v>
      </c>
      <c r="L73" s="13">
        <v>350500000</v>
      </c>
      <c r="M73" s="13">
        <v>350500000</v>
      </c>
      <c r="N73" s="13">
        <v>350500000</v>
      </c>
      <c r="O73" s="13">
        <v>350500000</v>
      </c>
      <c r="P73" s="13">
        <v>350500000</v>
      </c>
      <c r="Q73" s="13">
        <v>350500000</v>
      </c>
      <c r="R73" s="13">
        <v>350500000</v>
      </c>
      <c r="S73" s="13">
        <v>350500000</v>
      </c>
      <c r="T73" s="13">
        <v>350500000</v>
      </c>
      <c r="U73" s="13">
        <v>350500000</v>
      </c>
      <c r="V73" s="13">
        <v>350500000</v>
      </c>
      <c r="W73" s="13">
        <v>350500000</v>
      </c>
    </row>
    <row r="75" spans="2:49" x14ac:dyDescent="0.2">
      <c r="B75" t="s">
        <v>61</v>
      </c>
      <c r="D75" s="12">
        <f>D51/C51-1</f>
        <v>1.3666401411618123E-2</v>
      </c>
      <c r="E75" s="12">
        <f t="shared" ref="E75:J75" si="22">E51/D51-1</f>
        <v>0.64520445081575528</v>
      </c>
      <c r="F75" s="12">
        <f t="shared" si="22"/>
        <v>0.94225040040496921</v>
      </c>
      <c r="G75" s="12">
        <f t="shared" si="22"/>
        <v>0.50824407063538524</v>
      </c>
      <c r="H75" s="12">
        <f t="shared" si="22"/>
        <v>0.55807365439093481</v>
      </c>
      <c r="I75" s="12">
        <f t="shared" si="22"/>
        <v>0.36363636363636354</v>
      </c>
      <c r="J75" s="12">
        <f t="shared" si="22"/>
        <v>0.33333333333333326</v>
      </c>
      <c r="K75" s="6">
        <v>0.25</v>
      </c>
      <c r="L75" s="6">
        <v>0.2</v>
      </c>
      <c r="M75" s="6">
        <v>0.2</v>
      </c>
      <c r="N75" s="6">
        <v>0.2</v>
      </c>
      <c r="O75" s="6">
        <v>0.2</v>
      </c>
      <c r="P75" s="6">
        <v>7.0000000000000007E-2</v>
      </c>
      <c r="Q75" s="6">
        <v>7.0000000000000007E-2</v>
      </c>
      <c r="R75" s="6">
        <v>7.0000000000000007E-2</v>
      </c>
      <c r="S75" s="6">
        <v>7.0000000000000007E-2</v>
      </c>
      <c r="T75" s="6">
        <v>7.0000000000000007E-2</v>
      </c>
      <c r="U75" s="6">
        <v>7.0000000000000007E-2</v>
      </c>
      <c r="V75" s="6">
        <v>7.0000000000000007E-2</v>
      </c>
      <c r="W75" s="6">
        <v>7.0000000000000007E-2</v>
      </c>
    </row>
    <row r="76" spans="2:49" x14ac:dyDescent="0.2">
      <c r="B76" t="s">
        <v>62</v>
      </c>
      <c r="C76" s="12">
        <f>C56/C51</f>
        <v>0.12484517178147597</v>
      </c>
      <c r="D76" s="12">
        <f t="shared" ref="D76:F76" si="23">D56/D51</f>
        <v>0.22492320294900675</v>
      </c>
      <c r="E76" s="12">
        <f t="shared" si="23"/>
        <v>0.22212310066969287</v>
      </c>
      <c r="F76" s="12">
        <f t="shared" si="23"/>
        <v>0.18358064833131807</v>
      </c>
      <c r="G76" s="6">
        <v>0.25</v>
      </c>
      <c r="H76" s="6">
        <v>0.26</v>
      </c>
      <c r="I76" s="6">
        <v>0.27</v>
      </c>
      <c r="J76" s="6">
        <v>0.28000000000000003</v>
      </c>
      <c r="K76" s="6">
        <v>0.28999999999999998</v>
      </c>
      <c r="L76" s="6">
        <v>0.3</v>
      </c>
      <c r="M76" s="6">
        <v>0.3</v>
      </c>
      <c r="N76" s="6">
        <v>0.3</v>
      </c>
      <c r="O76" s="6">
        <v>0.3</v>
      </c>
      <c r="P76" s="6">
        <v>0.3</v>
      </c>
      <c r="Q76" s="6">
        <v>0.3</v>
      </c>
      <c r="R76" s="6">
        <v>0.3</v>
      </c>
      <c r="S76" s="6">
        <v>0.3</v>
      </c>
      <c r="T76" s="6">
        <v>0.3</v>
      </c>
      <c r="U76" s="6">
        <v>0.3</v>
      </c>
      <c r="V76" s="6">
        <v>0.3</v>
      </c>
      <c r="W76" s="6">
        <v>0.3</v>
      </c>
    </row>
    <row r="77" spans="2:49" x14ac:dyDescent="0.2">
      <c r="B77" s="7" t="s">
        <v>63</v>
      </c>
      <c r="C77" s="8">
        <v>0.21</v>
      </c>
    </row>
    <row r="79" spans="2:49" x14ac:dyDescent="0.2">
      <c r="B79" s="14" t="s">
        <v>71</v>
      </c>
      <c r="C79" s="19">
        <v>0.09</v>
      </c>
      <c r="E79" s="15" t="s">
        <v>74</v>
      </c>
      <c r="F79" s="17">
        <v>9</v>
      </c>
      <c r="H79" s="20" t="s">
        <v>79</v>
      </c>
      <c r="I79" s="21">
        <v>0.15</v>
      </c>
      <c r="J79" s="21">
        <v>0.05</v>
      </c>
    </row>
    <row r="80" spans="2:49" x14ac:dyDescent="0.2">
      <c r="B80" s="14" t="s">
        <v>72</v>
      </c>
      <c r="C80" s="26">
        <f>NPV(C79,G71:AW71)</f>
        <v>2880186963.938427</v>
      </c>
      <c r="E80" s="15" t="s">
        <v>60</v>
      </c>
      <c r="F80" s="18">
        <v>350500000</v>
      </c>
    </row>
    <row r="81" spans="2:9" x14ac:dyDescent="0.2">
      <c r="B81" s="14" t="s">
        <v>73</v>
      </c>
      <c r="C81" s="27">
        <f>C80/F80</f>
        <v>8.2173665162294629</v>
      </c>
      <c r="E81" s="15" t="s">
        <v>75</v>
      </c>
      <c r="F81" s="17">
        <f>F79*F80</f>
        <v>3154500000</v>
      </c>
      <c r="H81" s="20" t="s">
        <v>89</v>
      </c>
      <c r="I81" s="21">
        <v>-0.01</v>
      </c>
    </row>
    <row r="82" spans="2:9" x14ac:dyDescent="0.2">
      <c r="E82" s="15" t="s">
        <v>76</v>
      </c>
      <c r="F82" s="17">
        <v>369000000</v>
      </c>
    </row>
    <row r="83" spans="2:9" x14ac:dyDescent="0.2">
      <c r="E83" s="15" t="s">
        <v>77</v>
      </c>
      <c r="F83" s="17">
        <v>284000000</v>
      </c>
    </row>
    <row r="84" spans="2:9" x14ac:dyDescent="0.2">
      <c r="E84" s="15" t="s">
        <v>78</v>
      </c>
      <c r="F84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mccall</dc:creator>
  <cp:lastModifiedBy>suzanne mccall</cp:lastModifiedBy>
  <dcterms:created xsi:type="dcterms:W3CDTF">2023-04-12T20:48:49Z</dcterms:created>
  <dcterms:modified xsi:type="dcterms:W3CDTF">2023-04-13T00:18:23Z</dcterms:modified>
</cp:coreProperties>
</file>