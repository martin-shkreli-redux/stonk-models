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mccall/Desktop/$MODELZ/$UEC/"/>
    </mc:Choice>
  </mc:AlternateContent>
  <xr:revisionPtr revIDLastSave="0" documentId="13_ncr:1_{BBFCD85F-94AB-7941-A4D6-F63C681530C0}" xr6:coauthVersionLast="45" xr6:coauthVersionMax="45" xr10:uidLastSave="{00000000-0000-0000-0000-000000000000}"/>
  <bookViews>
    <workbookView xWindow="1660" yWindow="720" windowWidth="28080" windowHeight="19560" xr2:uid="{88E42798-DD99-8140-9EB2-90E0902D1D69}"/>
  </bookViews>
  <sheets>
    <sheet name="mode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18" i="1" l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Q10" i="1"/>
  <c r="Q11" i="1" s="1"/>
  <c r="P10" i="1"/>
  <c r="O10" i="1"/>
  <c r="O11" i="1" s="1"/>
  <c r="O19" i="1" s="1"/>
  <c r="O37" i="1" s="1"/>
  <c r="N10" i="1"/>
  <c r="R9" i="1"/>
  <c r="S9" i="1" s="1"/>
  <c r="Q45" i="1"/>
  <c r="P45" i="1"/>
  <c r="O45" i="1"/>
  <c r="N45" i="1"/>
  <c r="M46" i="1"/>
  <c r="F46" i="1"/>
  <c r="D46" i="1"/>
  <c r="C46" i="1"/>
  <c r="D45" i="1"/>
  <c r="F52" i="1"/>
  <c r="M42" i="1"/>
  <c r="L42" i="1"/>
  <c r="K42" i="1"/>
  <c r="L19" i="1"/>
  <c r="K19" i="1"/>
  <c r="M18" i="1"/>
  <c r="M19" i="1"/>
  <c r="L18" i="1"/>
  <c r="K18" i="1"/>
  <c r="J18" i="1"/>
  <c r="I18" i="1"/>
  <c r="H18" i="1"/>
  <c r="G18" i="1"/>
  <c r="F18" i="1"/>
  <c r="E18" i="1"/>
  <c r="D18" i="1"/>
  <c r="C18" i="1"/>
  <c r="P11" i="1"/>
  <c r="P19" i="1" s="1"/>
  <c r="P37" i="1" s="1"/>
  <c r="N11" i="1"/>
  <c r="M11" i="1"/>
  <c r="L11" i="1"/>
  <c r="K11" i="1"/>
  <c r="J11" i="1"/>
  <c r="J19" i="1" s="1"/>
  <c r="J37" i="1" s="1"/>
  <c r="J39" i="1" s="1"/>
  <c r="I11" i="1"/>
  <c r="I19" i="1" s="1"/>
  <c r="I37" i="1" s="1"/>
  <c r="I39" i="1" s="1"/>
  <c r="H11" i="1"/>
  <c r="H19" i="1" s="1"/>
  <c r="H37" i="1" s="1"/>
  <c r="H39" i="1" s="1"/>
  <c r="G11" i="1"/>
  <c r="F11" i="1"/>
  <c r="F19" i="1" s="1"/>
  <c r="F37" i="1" s="1"/>
  <c r="F39" i="1" s="1"/>
  <c r="E11" i="1"/>
  <c r="D11" i="1"/>
  <c r="D19" i="1" s="1"/>
  <c r="D37" i="1" s="1"/>
  <c r="D39" i="1" s="1"/>
  <c r="G19" i="1"/>
  <c r="G37" i="1" s="1"/>
  <c r="G39" i="1" s="1"/>
  <c r="E19" i="1"/>
  <c r="E37" i="1" s="1"/>
  <c r="E39" i="1" s="1"/>
  <c r="C11" i="1"/>
  <c r="C19" i="1" s="1"/>
  <c r="C37" i="1" s="1"/>
  <c r="C39" i="1" s="1"/>
  <c r="Q19" i="1" l="1"/>
  <c r="Q37" i="1" s="1"/>
  <c r="Q39" i="1" s="1"/>
  <c r="Q42" i="1" s="1"/>
  <c r="N19" i="1"/>
  <c r="N37" i="1" s="1"/>
  <c r="N39" i="1" s="1"/>
  <c r="N42" i="1" s="1"/>
  <c r="S10" i="1"/>
  <c r="S11" i="1" s="1"/>
  <c r="S19" i="1" s="1"/>
  <c r="S37" i="1" s="1"/>
  <c r="S39" i="1" s="1"/>
  <c r="S42" i="1" s="1"/>
  <c r="T9" i="1"/>
  <c r="R10" i="1"/>
  <c r="R11" i="1" s="1"/>
  <c r="O39" i="1"/>
  <c r="O42" i="1" s="1"/>
  <c r="P39" i="1"/>
  <c r="P42" i="1" s="1"/>
  <c r="K37" i="1"/>
  <c r="K39" i="1" s="1"/>
  <c r="L37" i="1"/>
  <c r="L39" i="1" s="1"/>
  <c r="R19" i="1" l="1"/>
  <c r="R37" i="1" s="1"/>
  <c r="R39" i="1" s="1"/>
  <c r="U9" i="1"/>
  <c r="T10" i="1"/>
  <c r="T11" i="1" s="1"/>
  <c r="T19" i="1" s="1"/>
  <c r="T37" i="1" s="1"/>
  <c r="T39" i="1" s="1"/>
  <c r="T42" i="1" s="1"/>
  <c r="M37" i="1"/>
  <c r="M39" i="1" s="1"/>
  <c r="R42" i="1" l="1"/>
  <c r="U10" i="1"/>
  <c r="V9" i="1"/>
  <c r="U11" i="1"/>
  <c r="U19" i="1" s="1"/>
  <c r="U37" i="1" s="1"/>
  <c r="U39" i="1" s="1"/>
  <c r="U42" i="1" s="1"/>
  <c r="V10" i="1" l="1"/>
  <c r="V11" i="1" s="1"/>
  <c r="V19" i="1" s="1"/>
  <c r="V37" i="1" s="1"/>
  <c r="V39" i="1" s="1"/>
  <c r="W9" i="1"/>
  <c r="V42" i="1" l="1"/>
  <c r="W10" i="1"/>
  <c r="W11" i="1" s="1"/>
  <c r="W19" i="1" s="1"/>
  <c r="W37" i="1" s="1"/>
  <c r="W39" i="1" s="1"/>
  <c r="X9" i="1"/>
  <c r="W42" i="1" l="1"/>
  <c r="Y9" i="1"/>
  <c r="X10" i="1"/>
  <c r="X11" i="1" s="1"/>
  <c r="X19" i="1" s="1"/>
  <c r="X37" i="1" s="1"/>
  <c r="X39" i="1" s="1"/>
  <c r="X42" i="1" s="1"/>
  <c r="Y10" i="1" l="1"/>
  <c r="Y11" i="1" s="1"/>
  <c r="Y19" i="1" s="1"/>
  <c r="Y37" i="1" s="1"/>
  <c r="Y39" i="1" s="1"/>
  <c r="Z9" i="1"/>
  <c r="Y42" i="1" l="1"/>
  <c r="AA9" i="1"/>
  <c r="Z10" i="1"/>
  <c r="Z11" i="1" s="1"/>
  <c r="Z19" i="1" s="1"/>
  <c r="Z37" i="1" s="1"/>
  <c r="Z39" i="1" s="1"/>
  <c r="Z42" i="1" s="1"/>
  <c r="AA10" i="1" l="1"/>
  <c r="AA11" i="1" s="1"/>
  <c r="AA19" i="1" s="1"/>
  <c r="AA37" i="1" s="1"/>
  <c r="AA39" i="1" s="1"/>
  <c r="AB9" i="1"/>
  <c r="AA42" i="1" l="1"/>
  <c r="AC9" i="1"/>
  <c r="AB10" i="1"/>
  <c r="AB11" i="1" s="1"/>
  <c r="AB19" i="1" s="1"/>
  <c r="AB37" i="1" s="1"/>
  <c r="AB39" i="1" s="1"/>
  <c r="AB42" i="1" s="1"/>
  <c r="AD9" i="1" l="1"/>
  <c r="AC10" i="1"/>
  <c r="AC11" i="1" s="1"/>
  <c r="AC19" i="1" s="1"/>
  <c r="AC37" i="1" s="1"/>
  <c r="AC39" i="1" s="1"/>
  <c r="AC42" i="1" s="1"/>
  <c r="AD10" i="1" l="1"/>
  <c r="AD11" i="1" s="1"/>
  <c r="AD19" i="1" s="1"/>
  <c r="AD37" i="1" s="1"/>
  <c r="AD39" i="1" s="1"/>
  <c r="AD42" i="1" s="1"/>
  <c r="AE9" i="1"/>
  <c r="AE10" i="1" l="1"/>
  <c r="AE11" i="1" s="1"/>
  <c r="AE19" i="1" s="1"/>
  <c r="AE37" i="1" s="1"/>
  <c r="AE39" i="1" s="1"/>
  <c r="AE42" i="1" l="1"/>
  <c r="AF39" i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C51" i="1" s="1"/>
  <c r="C52" i="1" s="1"/>
</calcChain>
</file>

<file path=xl/sharedStrings.xml><?xml version="1.0" encoding="utf-8"?>
<sst xmlns="http://schemas.openxmlformats.org/spreadsheetml/2006/main" count="78" uniqueCount="77">
  <si>
    <t xml:space="preserve">Sales </t>
  </si>
  <si>
    <t>Cost Of Sales</t>
  </si>
  <si>
    <t>Inventory write down</t>
  </si>
  <si>
    <t>Mineral Property expenditures</t>
  </si>
  <si>
    <t>G&amp;A</t>
  </si>
  <si>
    <t>Depreciation, amoritization &amp; accretion</t>
  </si>
  <si>
    <t>Impairment loss on mineral properties</t>
  </si>
  <si>
    <t>Op Income</t>
  </si>
  <si>
    <t>Interest Income</t>
  </si>
  <si>
    <t>Interest Expenses &amp; finance costs</t>
  </si>
  <si>
    <t>Loss in fair value of variable share forward contract</t>
  </si>
  <si>
    <t>Loss on settlement of current liabilities</t>
  </si>
  <si>
    <t>Gain on settlement of asset retirment obligations</t>
  </si>
  <si>
    <t>Pre Tax</t>
  </si>
  <si>
    <t>Taxes</t>
  </si>
  <si>
    <t xml:space="preserve">Net Income </t>
  </si>
  <si>
    <t>Other comprehensive loss, net of income taxes</t>
  </si>
  <si>
    <t>Total comprehensive loss for year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</si>
  <si>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</si>
  <si>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</si>
  <si>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</si>
  <si>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</si>
  <si>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</si>
  <si>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</si>
  <si>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</si>
  <si>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</si>
  <si>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</si>
  <si>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</si>
  <si>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</si>
  <si>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</si>
  <si>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</si>
  <si>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</si>
  <si>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</si>
  <si>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</si>
  <si>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</si>
  <si>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</si>
  <si>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</si>
  <si>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</si>
  <si>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</si>
  <si>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</si>
  <si>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</si>
  <si>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</si>
  <si>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</si>
  <si>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</si>
  <si>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</si>
  <si>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</si>
  <si>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</si>
  <si>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Gross Profit</t>
  </si>
  <si>
    <t>Loss on fair value of convertible debentures</t>
  </si>
  <si>
    <t>Loss on settlement of convertible debentures</t>
  </si>
  <si>
    <t xml:space="preserve">Gain on settlement of accouts payable </t>
  </si>
  <si>
    <t>Loss on settlement of asset retirment obligations</t>
  </si>
  <si>
    <t>Other income</t>
  </si>
  <si>
    <t>Transaction costs</t>
  </si>
  <si>
    <t>Loss/Gain on disposition of assets</t>
  </si>
  <si>
    <t>Net sale of securities</t>
  </si>
  <si>
    <t xml:space="preserve">Op Expense </t>
  </si>
  <si>
    <t xml:space="preserve">Debt receivable recovery </t>
  </si>
  <si>
    <t>Gain on settlement of debt receivable</t>
  </si>
  <si>
    <t xml:space="preserve">unrealized loss of securities </t>
  </si>
  <si>
    <t>Acquisition related costs</t>
  </si>
  <si>
    <t xml:space="preserve">Income from equity accounted investment </t>
  </si>
  <si>
    <t>EPS</t>
  </si>
  <si>
    <t>Shares</t>
  </si>
  <si>
    <t>Rev y/y</t>
  </si>
  <si>
    <t>Gross Profit y/y</t>
  </si>
  <si>
    <t>Tax Rate</t>
  </si>
  <si>
    <t>Discount</t>
  </si>
  <si>
    <t>NPV</t>
  </si>
  <si>
    <t>Share</t>
  </si>
  <si>
    <t>Price</t>
  </si>
  <si>
    <t>MC</t>
  </si>
  <si>
    <t xml:space="preserve">Cash </t>
  </si>
  <si>
    <t>Debt</t>
  </si>
  <si>
    <t>EV</t>
  </si>
  <si>
    <t>Op Expense</t>
  </si>
  <si>
    <t>Terminal Net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</si>
</sst>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44" fontId="0" fillId="0" borderId="0" xfId="2" applyFont="1"/>
    <xf numFmtId="44" fontId="2" fillId="0" borderId="0" xfId="2" applyFont="1"/>
    <xf numFmtId="9" fontId="0" fillId="0" borderId="0" xfId="0" applyNumberFormat="1"/>
    <xf numFmtId="0" fontId="3" fillId="2" borderId="0" xfId="0" applyFont="1" applyFill="1"/>
    <xf numFmtId="9" fontId="3" fillId="2" borderId="0" xfId="0" applyNumberFormat="1" applyFont="1" applyFill="1"/>
    <xf numFmtId="0" fontId="0" fillId="3" borderId="0" xfId="0" applyFill="1"/>
    <xf numFmtId="9" fontId="0" fillId="3" borderId="0" xfId="0" applyNumberFormat="1" applyFill="1"/>
    <xf numFmtId="0" fontId="0" fillId="4" borderId="0" xfId="0" applyFill="1"/>
    <xf numFmtId="43" fontId="0" fillId="0" borderId="0" xfId="1" applyFont="1"/>
    <xf numFmtId="44" fontId="0" fillId="4" borderId="0" xfId="2" applyFont="1" applyFill="1"/>
    <xf numFmtId="0" fontId="2" fillId="5" borderId="0" xfId="0" applyFont="1" applyFill="1"/>
    <xf numFmtId="44" fontId="2" fillId="5" borderId="0" xfId="2" applyFont="1" applyFill="1"/>
    <xf numFmtId="43" fontId="0" fillId="4" borderId="0" xfId="1" applyFont="1" applyFill="1"/>
    <xf numFmtId="9" fontId="0" fillId="0" borderId="0" xfId="3" applyFont="1"/>
    <xf numFmtId="0" fontId="0" fillId="6" borderId="0" xfId="0" applyFill="1"/>
    <xf numFmtId="9" fontId="0" fillId="6" borderId="0" xfId="0" applyNumberFormat="1" applyFill="1"/>
    <xf numFmtId="8" fontId="0" fillId="3" borderId="0" xfId="0" applyNumberFormat="1" applyFill="1"/>
    <xf numFmtId="44" fontId="0" fillId="0" borderId="0" xfId="0" applyNumberFormat="1"/>
    <xf numFmtId="44" fontId="0" fillId="3" borderId="0" xfId="2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5</xdr:row>
      <xdr:rowOff>38100</xdr:rowOff>
    </xdr:from>
    <xdr:to>
      <xdr:col>13</xdr:col>
      <xdr:colOff>0</xdr:colOff>
      <xdr:row>46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4BFFC8A-F379-6047-8979-286A844BA50F}"/>
            </a:ext>
          </a:extLst>
        </xdr:cNvPr>
        <xdr:cNvCxnSpPr/>
      </xdr:nvCxnSpPr>
      <xdr:spPr>
        <a:xfrm>
          <a:off x="17246600" y="1054100"/>
          <a:ext cx="0" cy="8242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12700</xdr:colOff>
      <xdr:row>43</xdr:row>
      <xdr:rowOff>63500</xdr:rowOff>
    </xdr:from>
    <xdr:to>
      <xdr:col>17</xdr:col>
      <xdr:colOff>12700</xdr:colOff>
      <xdr:row>45</xdr:row>
      <xdr:rowOff>190500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3996ACC-1899-4D49-8E80-A84E982395A7}"/>
            </a:ext>
          </a:extLst>
        </xdr:cNvPr>
        <xdr:cNvCxnSpPr/>
      </xdr:nvCxnSpPr>
      <xdr:spPr>
        <a:xfrm>
          <a:off x="22136100" y="880110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12700</xdr:colOff>
      <xdr:row>43</xdr:row>
      <xdr:rowOff>63500</xdr:rowOff>
    </xdr:from>
    <xdr:to>
      <xdr:col>17</xdr:col>
      <xdr:colOff>12700</xdr:colOff>
      <xdr:row>45</xdr:row>
      <xdr:rowOff>190500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A5FFDE6-3B2A-E040-A670-178CD5CB034C}"/>
            </a:ext>
          </a:extLst>
        </xdr:cNvPr>
        <xdr:cNvCxnSpPr/>
      </xdr:nvCxnSpPr>
      <xdr:spPr>
        <a:xfrm>
          <a:off x="22136100" y="880110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16</xdr:row>
      <xdr:rowOff>38100</xdr:rowOff>
    </xdr:from>
    <xdr:to>
      <xdr:col>17</xdr:col>
      <xdr:colOff>0</xdr:colOff>
      <xdr:row>18</xdr:row>
      <xdr:rowOff>127000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01336EF-4036-2644-9CB5-2FE08B134045}"/>
            </a:ext>
          </a:extLst>
        </xdr:cNvPr>
        <xdr:cNvCxnSpPr/>
      </xdr:nvCxnSpPr>
      <xdr:spPr>
        <a:xfrm>
          <a:off x="22225000" y="3289300"/>
          <a:ext cx="0" cy="495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B03A-4A06-4647-8244-D64483589D14}">
  <dimension ref="B2:BF55"/>
  <sheetViews>
    <sheetView tabSelected="1" topLeftCell="A7" workbookViewId="0">
      <selection activeCell="O46" sqref="O46"/>
    </sheetView>
  </sheetViews>
  <sheetFormatPr baseColWidth="10" defaultRowHeight="16" x14ac:dyDescent="0.2"/>
  <cols>
    <col min="2" max="2" width="43.1640625" customWidth="1"/>
    <col min="3" max="5" width="15.6640625" bestFit="1" customWidth="1"/>
    <col min="6" max="6" width="17.6640625" bestFit="1" customWidth="1"/>
    <col min="7" max="13" width="15.6640625" bestFit="1" customWidth="1"/>
    <col min="14" max="14" width="16" bestFit="1" customWidth="1"/>
    <col min="15" max="16" width="15.6640625" bestFit="1" customWidth="1"/>
    <col min="17" max="31" width="16" bestFit="1" customWidth="1"/>
    <col min="32" max="58" width="15" bestFit="1" customWidth="1"/>
  </cols>
  <sheetData>
    <row r="2" spans="2:31" x14ac:dyDescent="0.2">
      <c r="B2" s="1">
        <v>45030</v>
      </c>
    </row>
    <row r="8" spans="2:31" x14ac:dyDescent="0.2"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29</v>
      </c>
      <c r="O8" s="2" t="s">
        <v>30</v>
      </c>
      <c r="P8" s="2" t="s">
        <v>31</v>
      </c>
      <c r="Q8" s="2" t="s">
        <v>32</v>
      </c>
      <c r="R8" s="2" t="s">
        <v>33</v>
      </c>
      <c r="S8" s="2" t="s">
        <v>34</v>
      </c>
      <c r="T8" s="2" t="s">
        <v>35</v>
      </c>
      <c r="U8" s="2" t="s">
        <v>36</v>
      </c>
      <c r="V8" s="2" t="s">
        <v>37</v>
      </c>
      <c r="W8" s="2" t="s">
        <v>38</v>
      </c>
      <c r="X8" s="2" t="s">
        <v>39</v>
      </c>
      <c r="Y8" s="2" t="s">
        <v>40</v>
      </c>
      <c r="Z8" s="2" t="s">
        <v>41</v>
      </c>
      <c r="AA8" s="2" t="s">
        <v>42</v>
      </c>
      <c r="AB8" s="2" t="s">
        <v>43</v>
      </c>
      <c r="AC8" s="2" t="s">
        <v>44</v>
      </c>
      <c r="AD8" s="2" t="s">
        <v>45</v>
      </c>
      <c r="AE8" s="2" t="s">
        <v>46</v>
      </c>
    </row>
    <row r="9" spans="2:31" x14ac:dyDescent="0.2">
      <c r="B9" s="2" t="s">
        <v>0</v>
      </c>
      <c r="C9" s="3">
        <v>13757400</v>
      </c>
      <c r="D9" s="3">
        <v>9026325</v>
      </c>
      <c r="E9" s="3"/>
      <c r="F9" s="3">
        <v>3080000</v>
      </c>
      <c r="G9" s="3"/>
      <c r="H9" s="3"/>
      <c r="I9" s="3"/>
      <c r="J9" s="3"/>
      <c r="K9" s="3"/>
      <c r="L9" s="3"/>
      <c r="M9" s="3">
        <v>23161000</v>
      </c>
      <c r="N9" s="3">
        <v>114000000</v>
      </c>
      <c r="O9" s="3">
        <v>38500000</v>
      </c>
      <c r="P9" s="3">
        <v>78000000</v>
      </c>
      <c r="Q9" s="3">
        <v>101000000</v>
      </c>
      <c r="R9" s="3">
        <f>Q9*R45+Q9</f>
        <v>111100000</v>
      </c>
      <c r="S9" s="3">
        <f>R9*S45+R9</f>
        <v>122210000</v>
      </c>
      <c r="T9" s="3">
        <f>S9*T45+S9</f>
        <v>134431000</v>
      </c>
      <c r="U9" s="3">
        <f>T9*U45+T9</f>
        <v>147874100</v>
      </c>
      <c r="V9" s="3">
        <f>U9*V45+U9</f>
        <v>162661510</v>
      </c>
      <c r="W9" s="3">
        <f>V9*W45+V9</f>
        <v>167541355.30000001</v>
      </c>
      <c r="X9" s="3">
        <f>W9*X45+W9</f>
        <v>172567595.95900002</v>
      </c>
      <c r="Y9" s="3">
        <f>X9*Y45+X9</f>
        <v>177744623.83777002</v>
      </c>
      <c r="Z9" s="3">
        <f>Y9*Z45+Y9</f>
        <v>183076962.55290312</v>
      </c>
      <c r="AA9" s="3">
        <f>Z9*AA45+Z9</f>
        <v>188569271.42949021</v>
      </c>
      <c r="AB9" s="3">
        <f>AA9*AB45+AA9</f>
        <v>194226349.57237491</v>
      </c>
      <c r="AC9" s="3">
        <f>AB9*AC45+AB9</f>
        <v>200053140.05954614</v>
      </c>
      <c r="AD9" s="3">
        <f>AC9*AD45+AC9</f>
        <v>206054734.26133251</v>
      </c>
      <c r="AE9" s="3">
        <f>AD9*AE45+AD9</f>
        <v>212236376.2891725</v>
      </c>
    </row>
    <row r="10" spans="2:31" x14ac:dyDescent="0.2">
      <c r="B10" t="s">
        <v>1</v>
      </c>
      <c r="C10" s="3">
        <v>8112040</v>
      </c>
      <c r="D10" s="3">
        <v>8441473</v>
      </c>
      <c r="E10" s="3"/>
      <c r="F10" s="3">
        <v>2326674</v>
      </c>
      <c r="G10" s="3"/>
      <c r="H10" s="3"/>
      <c r="I10" s="3"/>
      <c r="J10" s="3"/>
      <c r="K10" s="3"/>
      <c r="L10" s="3"/>
      <c r="M10" s="3">
        <v>15868000</v>
      </c>
      <c r="N10" s="3">
        <f>N9-(N9*N46)</f>
        <v>74100000</v>
      </c>
      <c r="O10" s="3">
        <f t="shared" ref="O10:AE10" si="0">O9-(O9*O46)</f>
        <v>25025000</v>
      </c>
      <c r="P10" s="3">
        <f t="shared" si="0"/>
        <v>50700000</v>
      </c>
      <c r="Q10" s="3">
        <f t="shared" si="0"/>
        <v>65650000</v>
      </c>
      <c r="R10" s="3">
        <f t="shared" si="0"/>
        <v>72215000</v>
      </c>
      <c r="S10" s="3">
        <f t="shared" si="0"/>
        <v>79436500</v>
      </c>
      <c r="T10" s="3">
        <f t="shared" si="0"/>
        <v>87380150</v>
      </c>
      <c r="U10" s="3">
        <f t="shared" si="0"/>
        <v>96118165</v>
      </c>
      <c r="V10" s="3">
        <f t="shared" si="0"/>
        <v>105729981.5</v>
      </c>
      <c r="W10" s="3">
        <f t="shared" si="0"/>
        <v>108901880.94500001</v>
      </c>
      <c r="X10" s="3">
        <f t="shared" si="0"/>
        <v>112168937.37335002</v>
      </c>
      <c r="Y10" s="3">
        <f t="shared" si="0"/>
        <v>115534005.49455051</v>
      </c>
      <c r="Z10" s="3">
        <f t="shared" si="0"/>
        <v>119000025.65938702</v>
      </c>
      <c r="AA10" s="3">
        <f t="shared" si="0"/>
        <v>122570026.42916864</v>
      </c>
      <c r="AB10" s="3">
        <f t="shared" si="0"/>
        <v>126247127.22204369</v>
      </c>
      <c r="AC10" s="3">
        <f t="shared" si="0"/>
        <v>130034541.03870499</v>
      </c>
      <c r="AD10" s="3">
        <f t="shared" si="0"/>
        <v>133935577.26986614</v>
      </c>
      <c r="AE10" s="3">
        <f t="shared" si="0"/>
        <v>137953644.58796215</v>
      </c>
    </row>
    <row r="11" spans="2:31" x14ac:dyDescent="0.2">
      <c r="B11" s="2" t="s">
        <v>47</v>
      </c>
      <c r="C11" s="4">
        <f>C9-C10</f>
        <v>5645360</v>
      </c>
      <c r="D11" s="4">
        <f t="shared" ref="D11:AE11" si="1">D9-D10</f>
        <v>584852</v>
      </c>
      <c r="E11" s="4">
        <f t="shared" si="1"/>
        <v>0</v>
      </c>
      <c r="F11" s="4">
        <f t="shared" si="1"/>
        <v>753326</v>
      </c>
      <c r="G11" s="4">
        <f t="shared" si="1"/>
        <v>0</v>
      </c>
      <c r="H11" s="4">
        <f t="shared" si="1"/>
        <v>0</v>
      </c>
      <c r="I11" s="4">
        <f t="shared" si="1"/>
        <v>0</v>
      </c>
      <c r="J11" s="4">
        <f t="shared" si="1"/>
        <v>0</v>
      </c>
      <c r="K11" s="4">
        <f t="shared" si="1"/>
        <v>0</v>
      </c>
      <c r="L11" s="4">
        <f t="shared" si="1"/>
        <v>0</v>
      </c>
      <c r="M11" s="4">
        <f t="shared" si="1"/>
        <v>7293000</v>
      </c>
      <c r="N11" s="4">
        <f t="shared" si="1"/>
        <v>39900000</v>
      </c>
      <c r="O11" s="4">
        <f t="shared" si="1"/>
        <v>13475000</v>
      </c>
      <c r="P11" s="4">
        <f t="shared" si="1"/>
        <v>27300000</v>
      </c>
      <c r="Q11" s="4">
        <f t="shared" si="1"/>
        <v>35350000</v>
      </c>
      <c r="R11" s="4">
        <f t="shared" si="1"/>
        <v>38885000</v>
      </c>
      <c r="S11" s="4">
        <f t="shared" si="1"/>
        <v>42773500</v>
      </c>
      <c r="T11" s="4">
        <f t="shared" si="1"/>
        <v>47050850</v>
      </c>
      <c r="U11" s="4">
        <f t="shared" si="1"/>
        <v>51755935</v>
      </c>
      <c r="V11" s="4">
        <f t="shared" si="1"/>
        <v>56931528.5</v>
      </c>
      <c r="W11" s="4">
        <f t="shared" si="1"/>
        <v>58639474.355000004</v>
      </c>
      <c r="X11" s="4">
        <f t="shared" si="1"/>
        <v>60398658.585649997</v>
      </c>
      <c r="Y11" s="4">
        <f t="shared" si="1"/>
        <v>62210618.343219504</v>
      </c>
      <c r="Z11" s="4">
        <f t="shared" si="1"/>
        <v>64076936.893516093</v>
      </c>
      <c r="AA11" s="4">
        <f t="shared" si="1"/>
        <v>65999245.000321567</v>
      </c>
      <c r="AB11" s="4">
        <f t="shared" si="1"/>
        <v>67979222.350331217</v>
      </c>
      <c r="AC11" s="4">
        <f t="shared" si="1"/>
        <v>70018599.020841151</v>
      </c>
      <c r="AD11" s="4">
        <f t="shared" si="1"/>
        <v>72119156.991466373</v>
      </c>
      <c r="AE11" s="4">
        <f t="shared" si="1"/>
        <v>74282731.70121035</v>
      </c>
    </row>
    <row r="12" spans="2:31" x14ac:dyDescent="0.2">
      <c r="B12" t="s">
        <v>2</v>
      </c>
      <c r="C12" s="3"/>
      <c r="D12" s="3"/>
      <c r="E12" s="3">
        <v>804060</v>
      </c>
      <c r="F12" s="3"/>
      <c r="G12" s="3"/>
      <c r="H12" s="3">
        <v>60694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2:31" x14ac:dyDescent="0.2">
      <c r="B13" t="s">
        <v>3</v>
      </c>
      <c r="C13" s="3">
        <v>14938722</v>
      </c>
      <c r="D13" s="3">
        <v>10010691</v>
      </c>
      <c r="E13" s="3">
        <v>9160648</v>
      </c>
      <c r="F13" s="3">
        <v>5706080</v>
      </c>
      <c r="G13" s="3">
        <v>4061159</v>
      </c>
      <c r="H13" s="3">
        <v>4120388</v>
      </c>
      <c r="I13" s="3">
        <v>4552151</v>
      </c>
      <c r="J13" s="3">
        <v>4487537</v>
      </c>
      <c r="K13" s="3">
        <v>4582000</v>
      </c>
      <c r="L13" s="3">
        <v>4479000</v>
      </c>
      <c r="M13" s="3">
        <v>10154000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2:31" x14ac:dyDescent="0.2">
      <c r="B14" t="s">
        <v>4</v>
      </c>
      <c r="C14" s="3">
        <v>14036974</v>
      </c>
      <c r="D14" s="3">
        <v>10832929</v>
      </c>
      <c r="E14" s="3">
        <v>9825796</v>
      </c>
      <c r="F14" s="3">
        <v>13230840</v>
      </c>
      <c r="G14" s="3">
        <v>9297746</v>
      </c>
      <c r="H14" s="3">
        <v>10241681</v>
      </c>
      <c r="I14" s="3">
        <v>11407206</v>
      </c>
      <c r="J14" s="3">
        <v>10142035</v>
      </c>
      <c r="K14" s="3">
        <v>9442000</v>
      </c>
      <c r="L14" s="3">
        <v>12640000</v>
      </c>
      <c r="M14" s="3">
        <v>15026000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2:31" x14ac:dyDescent="0.2">
      <c r="B15" t="s">
        <v>5</v>
      </c>
      <c r="C15" s="3">
        <v>1275557</v>
      </c>
      <c r="D15" s="3">
        <v>1551861</v>
      </c>
      <c r="E15" s="3">
        <v>2392866</v>
      </c>
      <c r="F15" s="3">
        <v>1802443</v>
      </c>
      <c r="G15" s="3">
        <v>875724</v>
      </c>
      <c r="H15" s="3">
        <v>497728</v>
      </c>
      <c r="I15" s="3">
        <v>354624</v>
      </c>
      <c r="J15" s="3">
        <v>347441</v>
      </c>
      <c r="K15" s="3">
        <v>310000</v>
      </c>
      <c r="L15" s="3">
        <v>393000</v>
      </c>
      <c r="M15" s="3">
        <v>1379000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2:31" x14ac:dyDescent="0.2">
      <c r="B16" t="s">
        <v>6</v>
      </c>
      <c r="C16" s="3"/>
      <c r="D16" s="3"/>
      <c r="E16" s="3">
        <v>653224</v>
      </c>
      <c r="F16" s="3">
        <v>349805</v>
      </c>
      <c r="G16" s="3">
        <v>97114</v>
      </c>
      <c r="H16" s="3">
        <v>297942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2:31" x14ac:dyDescent="0.2">
      <c r="B17" t="s">
        <v>60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3444000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2:31" x14ac:dyDescent="0.2">
      <c r="B18" t="s">
        <v>56</v>
      </c>
      <c r="C18" s="3">
        <f>C12+C13+C14+C15+C16</f>
        <v>30251253</v>
      </c>
      <c r="D18" s="3">
        <f t="shared" ref="D18:M18" si="2">D12+D13+D14+D15+D16</f>
        <v>22395481</v>
      </c>
      <c r="E18" s="3">
        <f t="shared" si="2"/>
        <v>22836594</v>
      </c>
      <c r="F18" s="3">
        <f t="shared" si="2"/>
        <v>21089168</v>
      </c>
      <c r="G18" s="3">
        <f t="shared" si="2"/>
        <v>14331743</v>
      </c>
      <c r="H18" s="3">
        <f t="shared" si="2"/>
        <v>15218433</v>
      </c>
      <c r="I18" s="3">
        <f t="shared" si="2"/>
        <v>16313981</v>
      </c>
      <c r="J18" s="3">
        <f t="shared" si="2"/>
        <v>14977013</v>
      </c>
      <c r="K18" s="3">
        <f t="shared" si="2"/>
        <v>14334000</v>
      </c>
      <c r="L18" s="3">
        <f t="shared" si="2"/>
        <v>17512000</v>
      </c>
      <c r="M18" s="3">
        <f>M12+M13+M14+M15+M16+M17</f>
        <v>30003000</v>
      </c>
      <c r="N18" s="3">
        <f>M18+(M18*I48)</f>
        <v>32103210</v>
      </c>
      <c r="O18" s="3">
        <f>N18+(N18*I48)</f>
        <v>34350434.700000003</v>
      </c>
      <c r="P18" s="3">
        <f>O18+(O18*I48)</f>
        <v>36754965.129000001</v>
      </c>
      <c r="Q18" s="3">
        <f>P18+(P18*I48)</f>
        <v>39327812.688030005</v>
      </c>
      <c r="R18" s="3">
        <f>Q18+(Q18*J48)</f>
        <v>39721090.814910308</v>
      </c>
      <c r="S18" s="3">
        <f>R18+(R18*J48)</f>
        <v>40118301.723059408</v>
      </c>
      <c r="T18" s="3">
        <f>S18+(S18*J48)</f>
        <v>40519484.740290001</v>
      </c>
      <c r="U18" s="3">
        <f>T18+(T18*J48)</f>
        <v>40924679.587692901</v>
      </c>
      <c r="V18" s="3">
        <f>U18+(U18*J48)</f>
        <v>41333926.383569829</v>
      </c>
      <c r="W18" s="3">
        <f>V18+(V18*J48)</f>
        <v>41747265.647405528</v>
      </c>
      <c r="X18" s="3">
        <f>W18+(W18*J48)</f>
        <v>42164738.303879581</v>
      </c>
      <c r="Y18" s="3">
        <f>X18+(X18*J48)</f>
        <v>42586385.686918378</v>
      </c>
      <c r="Z18" s="3">
        <f>Y18+(Y18*J48)</f>
        <v>43012249.543787561</v>
      </c>
      <c r="AA18" s="3">
        <f>Z18+(Z18*J48)</f>
        <v>43442372.039225437</v>
      </c>
      <c r="AB18" s="3">
        <f>AA18+(AA18*J48)</f>
        <v>43876795.759617694</v>
      </c>
      <c r="AC18" s="3">
        <f>AB18+(AB18*J48)</f>
        <v>44315563.717213869</v>
      </c>
      <c r="AD18" s="3">
        <f>AC18+(AC18*J48)</f>
        <v>44758719.354386009</v>
      </c>
      <c r="AE18" s="3">
        <f>AD18+(AD18*J48)</f>
        <v>45206306.547929868</v>
      </c>
    </row>
    <row r="19" spans="2:31" x14ac:dyDescent="0.2">
      <c r="B19" s="2" t="s">
        <v>7</v>
      </c>
      <c r="C19" s="4">
        <f>C11-C12-C13-C14-C15-C16</f>
        <v>-24605893</v>
      </c>
      <c r="D19" s="4">
        <f>D11-D12-D13-D14-D15-D16</f>
        <v>-21810629</v>
      </c>
      <c r="E19" s="4">
        <f t="shared" ref="E19:G19" si="3">E11-E12-E13-E14-E15-E16</f>
        <v>-22836594</v>
      </c>
      <c r="F19" s="4">
        <f>F11-F12-F13-F14-F15-F16</f>
        <v>-20335842</v>
      </c>
      <c r="G19" s="4">
        <f t="shared" si="3"/>
        <v>-14331743</v>
      </c>
      <c r="H19" s="4">
        <f>H11-H12-H13-H14-H15-H16</f>
        <v>-15218433</v>
      </c>
      <c r="I19" s="4">
        <f>I11-I12-I13-I14-I15-I16</f>
        <v>-16313981</v>
      </c>
      <c r="J19" s="4">
        <f>J11-J12-J13-J14-J15-J16</f>
        <v>-14977013</v>
      </c>
      <c r="K19" s="4">
        <f t="shared" ref="K19:M19" si="4">K11-K12-K13-K14-K15-K16-K17</f>
        <v>-14334000</v>
      </c>
      <c r="L19" s="4">
        <f t="shared" si="4"/>
        <v>-17512000</v>
      </c>
      <c r="M19" s="4">
        <f>M11-M12-M13-M14-M15-M16-M17</f>
        <v>-22710000</v>
      </c>
      <c r="N19" s="4">
        <f>N11-N18</f>
        <v>7796790</v>
      </c>
      <c r="O19" s="4">
        <f t="shared" ref="O19:AE19" si="5">O11-O18</f>
        <v>-20875434.700000003</v>
      </c>
      <c r="P19" s="4">
        <f t="shared" si="5"/>
        <v>-9454965.1290000007</v>
      </c>
      <c r="Q19" s="4">
        <f t="shared" si="5"/>
        <v>-3977812.6880300045</v>
      </c>
      <c r="R19" s="4">
        <f t="shared" si="5"/>
        <v>-836090.81491030753</v>
      </c>
      <c r="S19" s="4">
        <f t="shared" si="5"/>
        <v>2655198.2769405916</v>
      </c>
      <c r="T19" s="4">
        <f t="shared" si="5"/>
        <v>6531365.259709999</v>
      </c>
      <c r="U19" s="4">
        <f t="shared" si="5"/>
        <v>10831255.412307099</v>
      </c>
      <c r="V19" s="4">
        <f t="shared" si="5"/>
        <v>15597602.116430171</v>
      </c>
      <c r="W19" s="4">
        <f t="shared" si="5"/>
        <v>16892208.707594477</v>
      </c>
      <c r="X19" s="4">
        <f t="shared" si="5"/>
        <v>18233920.281770416</v>
      </c>
      <c r="Y19" s="4">
        <f t="shared" si="5"/>
        <v>19624232.656301126</v>
      </c>
      <c r="Z19" s="4">
        <f t="shared" si="5"/>
        <v>21064687.349728532</v>
      </c>
      <c r="AA19" s="4">
        <f t="shared" si="5"/>
        <v>22556872.96109613</v>
      </c>
      <c r="AB19" s="4">
        <f t="shared" si="5"/>
        <v>24102426.590713523</v>
      </c>
      <c r="AC19" s="4">
        <f t="shared" si="5"/>
        <v>25703035.303627282</v>
      </c>
      <c r="AD19" s="4">
        <f t="shared" si="5"/>
        <v>27360437.637080364</v>
      </c>
      <c r="AE19" s="4">
        <f t="shared" si="5"/>
        <v>29076425.153280482</v>
      </c>
    </row>
    <row r="20" spans="2:31" x14ac:dyDescent="0.2">
      <c r="B20" t="s">
        <v>8</v>
      </c>
      <c r="C20" s="3">
        <v>69328</v>
      </c>
      <c r="D20" s="3">
        <v>32524</v>
      </c>
      <c r="E20" s="3">
        <v>30027</v>
      </c>
      <c r="F20" s="3">
        <v>12797</v>
      </c>
      <c r="G20" s="3">
        <v>24177</v>
      </c>
      <c r="H20" s="3">
        <v>137863</v>
      </c>
      <c r="I20" s="3">
        <v>227534</v>
      </c>
      <c r="J20" s="3">
        <v>433031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2:31" x14ac:dyDescent="0.2">
      <c r="B21" t="s">
        <v>9</v>
      </c>
      <c r="C21" s="3">
        <v>-30898</v>
      </c>
      <c r="D21" s="3">
        <v>-32758</v>
      </c>
      <c r="E21" s="3">
        <v>-2893816</v>
      </c>
      <c r="F21" s="3">
        <v>-3071235</v>
      </c>
      <c r="G21" s="3">
        <v>-3005391</v>
      </c>
      <c r="H21" s="3">
        <v>-2914862</v>
      </c>
      <c r="I21" s="3">
        <v>-2952202</v>
      </c>
      <c r="J21" s="3">
        <v>-3249881</v>
      </c>
      <c r="K21" s="3">
        <v>-3462000</v>
      </c>
      <c r="L21" s="3">
        <v>-2880000</v>
      </c>
      <c r="M21" s="3">
        <v>-1519000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2:31" x14ac:dyDescent="0.2">
      <c r="B22" t="s">
        <v>54</v>
      </c>
      <c r="C22" s="3">
        <v>6999</v>
      </c>
      <c r="D22" s="3">
        <v>4249</v>
      </c>
      <c r="E22" s="3">
        <v>-2553</v>
      </c>
      <c r="F22" s="3">
        <v>-38</v>
      </c>
      <c r="G22" s="3">
        <v>-2186</v>
      </c>
      <c r="H22" s="3">
        <v>-1055</v>
      </c>
      <c r="I22" s="3">
        <v>-1696</v>
      </c>
      <c r="J22" s="3">
        <v>1595513</v>
      </c>
      <c r="K22" s="3"/>
      <c r="L22" s="3"/>
      <c r="M22" s="3">
        <v>6427000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2:31" x14ac:dyDescent="0.2">
      <c r="B23" t="s">
        <v>55</v>
      </c>
      <c r="C23" s="3"/>
      <c r="D23" s="3">
        <v>-45750</v>
      </c>
      <c r="E23" s="3"/>
      <c r="F23" s="3">
        <v>-3023</v>
      </c>
      <c r="G23" s="3"/>
      <c r="H23" s="3"/>
      <c r="I23" s="3">
        <v>423657</v>
      </c>
      <c r="J23" s="3">
        <v>-1103356</v>
      </c>
      <c r="K23" s="3">
        <v>2000</v>
      </c>
      <c r="L23" s="3">
        <v>-2000</v>
      </c>
      <c r="M23" s="3">
        <v>547000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2:31" x14ac:dyDescent="0.2">
      <c r="B24" t="s">
        <v>59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>
        <v>-1898000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2:31" x14ac:dyDescent="0.2">
      <c r="B25" t="s">
        <v>61</v>
      </c>
      <c r="C25" s="3"/>
      <c r="D25" s="3"/>
      <c r="E25" s="3"/>
      <c r="F25" s="3"/>
      <c r="G25" s="3"/>
      <c r="H25" s="3"/>
      <c r="I25" s="3"/>
      <c r="J25" s="3"/>
      <c r="K25" s="3">
        <v>2968000</v>
      </c>
      <c r="L25" s="3">
        <v>5205000</v>
      </c>
      <c r="M25" s="3">
        <v>4126000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2:31" x14ac:dyDescent="0.2">
      <c r="B26" t="s">
        <v>57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>
        <v>18342000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2:31" x14ac:dyDescent="0.2">
      <c r="B27" t="s">
        <v>58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>
        <v>1780000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2:31" x14ac:dyDescent="0.2">
      <c r="B28" t="s">
        <v>48</v>
      </c>
      <c r="C28" s="3">
        <v>-49681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2:31" x14ac:dyDescent="0.2">
      <c r="B29" t="s">
        <v>49</v>
      </c>
      <c r="C29" s="3">
        <v>-312207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2:31" x14ac:dyDescent="0.2">
      <c r="B30" t="s">
        <v>50</v>
      </c>
      <c r="C30" s="3">
        <v>221292</v>
      </c>
      <c r="D30" s="3">
        <v>10909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2:31" x14ac:dyDescent="0.2">
      <c r="B31" t="s">
        <v>51</v>
      </c>
      <c r="C31" s="3">
        <v>-444448</v>
      </c>
      <c r="D31" s="3">
        <v>-32389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2:31" x14ac:dyDescent="0.2">
      <c r="B32" t="s">
        <v>10</v>
      </c>
      <c r="C32" s="3"/>
      <c r="D32" s="3"/>
      <c r="E32" s="3">
        <v>-331130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2:58" x14ac:dyDescent="0.2">
      <c r="B33" t="s">
        <v>11</v>
      </c>
      <c r="C33" s="3"/>
      <c r="D33" s="3"/>
      <c r="E33" s="3">
        <v>-20581</v>
      </c>
      <c r="F33" s="3"/>
      <c r="G33" s="3">
        <v>-46968</v>
      </c>
      <c r="H33" s="3">
        <v>-49002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2:58" x14ac:dyDescent="0.2">
      <c r="B34" t="s">
        <v>12</v>
      </c>
      <c r="C34" s="3"/>
      <c r="D34" s="3"/>
      <c r="E34" s="3">
        <v>9831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2:58" x14ac:dyDescent="0.2">
      <c r="B35" t="s">
        <v>52</v>
      </c>
      <c r="C35" s="3"/>
      <c r="D35" s="3"/>
      <c r="E35" s="3"/>
      <c r="F35" s="3"/>
      <c r="G35" s="3"/>
      <c r="H35" s="3">
        <v>40078</v>
      </c>
      <c r="I35" s="3">
        <v>82543</v>
      </c>
      <c r="J35" s="3">
        <v>134545</v>
      </c>
      <c r="K35" s="3">
        <v>210000</v>
      </c>
      <c r="L35" s="3">
        <v>372000</v>
      </c>
      <c r="M35" s="3">
        <v>152000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2:58" x14ac:dyDescent="0.2">
      <c r="B36" t="s">
        <v>53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2:58" x14ac:dyDescent="0.2">
      <c r="B37" t="s">
        <v>13</v>
      </c>
      <c r="C37" s="3">
        <f>C19+C20+C21+C22+C23+C28+C29+C30+C31+C32+C33+C34+C35+C36</f>
        <v>-25145508</v>
      </c>
      <c r="D37" s="3">
        <f>D19+D20+D21+D22+D23+D28+D29+D30+D31+D32+D33+D34+D35+D36</f>
        <v>-21873844</v>
      </c>
      <c r="E37" s="3">
        <f>E19+E20+E21+E22+E23+E28+E29+E30+E31+E32+E33+E34+E35+E36</f>
        <v>-26044816</v>
      </c>
      <c r="F37" s="3">
        <f>F19+F20+F21+F22+F23+F28+F29+F30+F31+F32+F33+F34+F35+F36</f>
        <v>-23397341</v>
      </c>
      <c r="G37" s="3">
        <f>G19+G20+G21+G22+G23+G28+G29+G30+G31+G32+G33+G34+G35+G36</f>
        <v>-17362111</v>
      </c>
      <c r="H37" s="3">
        <f>H19+H20+H21+H22+H23+H28+H29+H30+H31+H32+H33+H34+H35+H36</f>
        <v>-18005411</v>
      </c>
      <c r="I37" s="3">
        <f>I19+I20+I21+I22+I23+I28+I29+I30+I31+I32+I33+I34+I35+I36</f>
        <v>-18534145</v>
      </c>
      <c r="J37" s="3">
        <f>J19+J20+J21+J22+J23+J28+J29+J30+J31+J32+J33+J34+J35+J36</f>
        <v>-17167161</v>
      </c>
      <c r="K37" s="3">
        <f>K19+K20+K21+K22+K23+K24+K25+K26+K27+K28+K29+K30+K31+K32+K33+K34+K35+K36</f>
        <v>-14616000</v>
      </c>
      <c r="L37" s="3">
        <f>L19+L20+L21+L22+L23+L24+L25+L26+L27+L28+L29+L30+L31+L32+L33+L34+L35+L36</f>
        <v>-14817000</v>
      </c>
      <c r="M37" s="3">
        <f>M19+M20+M21+M22+M23+M24+M25+M26+M27+M28+M29+M30+M31+M32+M33+M34+M35+M36</f>
        <v>5247000</v>
      </c>
      <c r="N37" s="3">
        <f t="shared" ref="N37:AE37" si="6">N19+N20+N21+N22+N23+N24+N25+N26+N27+N28+N29+N30+N31+N32+N33+N34+N35+N36</f>
        <v>7796790</v>
      </c>
      <c r="O37" s="3">
        <f>O19+O20+O21+O22+O23+O24+O25+O26+O27+O28+O29+O30+O31+O32+O33+O34+O35+O36</f>
        <v>-20875434.700000003</v>
      </c>
      <c r="P37" s="3">
        <f>P19+P20+P21+P22+P23+P24+P25+P26+P27+P28+P29+P30+P31+P32+P33+P34+P35+P36</f>
        <v>-9454965.1290000007</v>
      </c>
      <c r="Q37" s="3">
        <f t="shared" si="6"/>
        <v>-3977812.6880300045</v>
      </c>
      <c r="R37" s="3">
        <f t="shared" si="6"/>
        <v>-836090.81491030753</v>
      </c>
      <c r="S37" s="3">
        <f t="shared" si="6"/>
        <v>2655198.2769405916</v>
      </c>
      <c r="T37" s="3">
        <f t="shared" si="6"/>
        <v>6531365.259709999</v>
      </c>
      <c r="U37" s="3">
        <f t="shared" si="6"/>
        <v>10831255.412307099</v>
      </c>
      <c r="V37" s="3">
        <f t="shared" si="6"/>
        <v>15597602.116430171</v>
      </c>
      <c r="W37" s="3">
        <f t="shared" si="6"/>
        <v>16892208.707594477</v>
      </c>
      <c r="X37" s="3">
        <f t="shared" si="6"/>
        <v>18233920.281770416</v>
      </c>
      <c r="Y37" s="3">
        <f t="shared" si="6"/>
        <v>19624232.656301126</v>
      </c>
      <c r="Z37" s="3">
        <f t="shared" si="6"/>
        <v>21064687.349728532</v>
      </c>
      <c r="AA37" s="3">
        <f t="shared" si="6"/>
        <v>22556872.96109613</v>
      </c>
      <c r="AB37" s="3">
        <f t="shared" si="6"/>
        <v>24102426.590713523</v>
      </c>
      <c r="AC37" s="3">
        <f t="shared" si="6"/>
        <v>25703035.303627282</v>
      </c>
      <c r="AD37" s="3">
        <f t="shared" si="6"/>
        <v>27360437.637080364</v>
      </c>
      <c r="AE37" s="3">
        <f t="shared" si="6"/>
        <v>29076425.153280482</v>
      </c>
    </row>
    <row r="38" spans="2:58" x14ac:dyDescent="0.2">
      <c r="B38" t="s">
        <v>14</v>
      </c>
      <c r="C38" s="3">
        <v>61788</v>
      </c>
      <c r="D38" s="3">
        <v>10753</v>
      </c>
      <c r="E38" s="3">
        <v>69709</v>
      </c>
      <c r="F38" s="3">
        <v>35413</v>
      </c>
      <c r="G38" s="3"/>
      <c r="H38" s="3">
        <v>34355</v>
      </c>
      <c r="I38" s="3">
        <v>707511</v>
      </c>
      <c r="J38" s="3">
        <v>14372</v>
      </c>
      <c r="K38" s="3">
        <v>6000</v>
      </c>
      <c r="L38" s="3">
        <v>4000</v>
      </c>
      <c r="M38" s="3">
        <v>5000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2:58" x14ac:dyDescent="0.2">
      <c r="B39" s="13" t="s">
        <v>15</v>
      </c>
      <c r="C39" s="14">
        <f>C37+C38</f>
        <v>-25083720</v>
      </c>
      <c r="D39" s="14">
        <f t="shared" ref="D39:AE39" si="7">D37+D38</f>
        <v>-21863091</v>
      </c>
      <c r="E39" s="14">
        <f t="shared" si="7"/>
        <v>-25975107</v>
      </c>
      <c r="F39" s="14">
        <f t="shared" si="7"/>
        <v>-23361928</v>
      </c>
      <c r="G39" s="14">
        <f t="shared" si="7"/>
        <v>-17362111</v>
      </c>
      <c r="H39" s="14">
        <f t="shared" si="7"/>
        <v>-17971056</v>
      </c>
      <c r="I39" s="14">
        <f t="shared" si="7"/>
        <v>-17826634</v>
      </c>
      <c r="J39" s="14">
        <f t="shared" si="7"/>
        <v>-17152789</v>
      </c>
      <c r="K39" s="14">
        <f>K37+K38</f>
        <v>-14610000</v>
      </c>
      <c r="L39" s="14">
        <f>L37+L38</f>
        <v>-14813000</v>
      </c>
      <c r="M39" s="14">
        <f>M37+M38</f>
        <v>5252000</v>
      </c>
      <c r="N39" s="14">
        <f t="shared" si="7"/>
        <v>7796790</v>
      </c>
      <c r="O39" s="14">
        <f t="shared" si="7"/>
        <v>-20875434.700000003</v>
      </c>
      <c r="P39" s="14">
        <f t="shared" si="7"/>
        <v>-9454965.1290000007</v>
      </c>
      <c r="Q39" s="14">
        <f t="shared" si="7"/>
        <v>-3977812.6880300045</v>
      </c>
      <c r="R39" s="14">
        <f t="shared" si="7"/>
        <v>-836090.81491030753</v>
      </c>
      <c r="S39" s="14">
        <f t="shared" si="7"/>
        <v>2655198.2769405916</v>
      </c>
      <c r="T39" s="14">
        <f t="shared" si="7"/>
        <v>6531365.259709999</v>
      </c>
      <c r="U39" s="14">
        <f t="shared" si="7"/>
        <v>10831255.412307099</v>
      </c>
      <c r="V39" s="14">
        <f t="shared" si="7"/>
        <v>15597602.116430171</v>
      </c>
      <c r="W39" s="14">
        <f t="shared" si="7"/>
        <v>16892208.707594477</v>
      </c>
      <c r="X39" s="14">
        <f t="shared" si="7"/>
        <v>18233920.281770416</v>
      </c>
      <c r="Y39" s="14">
        <f t="shared" si="7"/>
        <v>19624232.656301126</v>
      </c>
      <c r="Z39" s="14">
        <f t="shared" si="7"/>
        <v>21064687.349728532</v>
      </c>
      <c r="AA39" s="14">
        <f t="shared" si="7"/>
        <v>22556872.96109613</v>
      </c>
      <c r="AB39" s="14">
        <f t="shared" si="7"/>
        <v>24102426.590713523</v>
      </c>
      <c r="AC39" s="14">
        <f t="shared" si="7"/>
        <v>25703035.303627282</v>
      </c>
      <c r="AD39" s="14">
        <f t="shared" si="7"/>
        <v>27360437.637080364</v>
      </c>
      <c r="AE39" s="14">
        <f t="shared" si="7"/>
        <v>29076425.153280482</v>
      </c>
      <c r="AF39" s="20">
        <f>AE39*I50+AE39</f>
        <v>29076425.153280482</v>
      </c>
      <c r="AG39" s="20">
        <f>AF39*I50+AF39</f>
        <v>29076425.153280482</v>
      </c>
      <c r="AH39" s="20">
        <f>AG39*I50+AG39</f>
        <v>29076425.153280482</v>
      </c>
      <c r="AI39" s="20">
        <f>AH39*I50+AH39</f>
        <v>29076425.153280482</v>
      </c>
      <c r="AJ39" s="20">
        <f>AI39*I50+AI39</f>
        <v>29076425.153280482</v>
      </c>
      <c r="AK39" s="20">
        <f>AJ39*I50+AJ39</f>
        <v>29076425.153280482</v>
      </c>
      <c r="AL39" s="20">
        <f>AK39*I50+AK39</f>
        <v>29076425.153280482</v>
      </c>
      <c r="AM39" s="20">
        <f>AL39*I50+AL39</f>
        <v>29076425.153280482</v>
      </c>
      <c r="AN39" s="20">
        <f>AM39*I50+AM39</f>
        <v>29076425.153280482</v>
      </c>
      <c r="AO39" s="20">
        <f>AN39*I50+AN39</f>
        <v>29076425.153280482</v>
      </c>
      <c r="AP39" s="20">
        <f>AO39*I50+AO39</f>
        <v>29076425.153280482</v>
      </c>
      <c r="AQ39" s="20">
        <f>AP39*I50+AP39</f>
        <v>29076425.153280482</v>
      </c>
      <c r="AR39" s="20">
        <f>AQ39*I50+AQ39</f>
        <v>29076425.153280482</v>
      </c>
      <c r="AS39" s="20">
        <f>AR39*I50+AR39</f>
        <v>29076425.153280482</v>
      </c>
      <c r="AT39" s="20">
        <f>AS39*I50+AS39</f>
        <v>29076425.153280482</v>
      </c>
      <c r="AU39" s="20">
        <f>AT39*I50+AT39</f>
        <v>29076425.153280482</v>
      </c>
      <c r="AV39" s="20">
        <f>AU39*I50+AU39</f>
        <v>29076425.153280482</v>
      </c>
      <c r="AW39" s="20">
        <f>AV39*I50+AV39</f>
        <v>29076425.153280482</v>
      </c>
      <c r="AX39" s="20">
        <f>AW39*I50+AW39</f>
        <v>29076425.153280482</v>
      </c>
      <c r="AY39" s="20">
        <f>AX39*I50+AX39</f>
        <v>29076425.153280482</v>
      </c>
      <c r="AZ39" s="20">
        <f>AY39*I50+AY39</f>
        <v>29076425.153280482</v>
      </c>
      <c r="BA39" s="20">
        <f>AZ39*I50+AZ39</f>
        <v>29076425.153280482</v>
      </c>
      <c r="BB39" s="20">
        <f>BA39*I50+BA39</f>
        <v>29076425.153280482</v>
      </c>
      <c r="BC39" s="20">
        <f>BB39*I50+BB39</f>
        <v>29076425.153280482</v>
      </c>
      <c r="BD39" s="20">
        <f>BC39*I50+BC39</f>
        <v>29076425.153280482</v>
      </c>
      <c r="BE39" s="20">
        <f>BD39*I50+BD39</f>
        <v>29076425.153280482</v>
      </c>
      <c r="BF39" s="20">
        <f>BE39*I50+BE39</f>
        <v>29076425.153280482</v>
      </c>
    </row>
    <row r="40" spans="2:58" x14ac:dyDescent="0.2">
      <c r="B40" t="s">
        <v>16</v>
      </c>
      <c r="C40" s="3"/>
      <c r="D40" s="3"/>
      <c r="E40" s="3"/>
      <c r="F40" s="3"/>
      <c r="G40" s="3"/>
    </row>
    <row r="41" spans="2:58" x14ac:dyDescent="0.2">
      <c r="B41" t="s">
        <v>17</v>
      </c>
      <c r="C41" s="3">
        <v>-25083720</v>
      </c>
      <c r="D41" s="3">
        <v>-21840964</v>
      </c>
      <c r="E41" s="3">
        <v>-25988646</v>
      </c>
      <c r="F41" s="3">
        <v>-23363020</v>
      </c>
      <c r="G41" s="3">
        <v>-17329971</v>
      </c>
      <c r="H41" s="3">
        <v>-17971028</v>
      </c>
      <c r="I41" s="3">
        <v>-17708291</v>
      </c>
      <c r="J41" s="3">
        <v>-17140328</v>
      </c>
      <c r="K41" s="3">
        <v>-14743000</v>
      </c>
      <c r="L41" s="3">
        <v>-14200000</v>
      </c>
      <c r="M41" s="3">
        <v>4573000</v>
      </c>
    </row>
    <row r="42" spans="2:58" x14ac:dyDescent="0.2">
      <c r="B42" t="s">
        <v>62</v>
      </c>
      <c r="K42" s="3">
        <f>K41/K43</f>
        <v>-8.0544458907810146E-2</v>
      </c>
      <c r="L42" s="3">
        <f t="shared" ref="L42:AE42" si="8">L41/L43</f>
        <v>-6.7523873683717192E-2</v>
      </c>
      <c r="M42" s="3">
        <f t="shared" si="8"/>
        <v>1.6873326356417667E-2</v>
      </c>
      <c r="N42" s="3">
        <f>N39/N43</f>
        <v>2.0769286094832178E-2</v>
      </c>
      <c r="O42" s="3">
        <f t="shared" ref="O42:AE42" si="9">O39/O43</f>
        <v>-5.5608510122535967E-2</v>
      </c>
      <c r="P42" s="3">
        <f t="shared" si="9"/>
        <v>-2.518637487746404E-2</v>
      </c>
      <c r="Q42" s="3">
        <f t="shared" si="9"/>
        <v>-1.0596197890330327E-2</v>
      </c>
      <c r="R42" s="3">
        <f t="shared" si="9"/>
        <v>-2.2271998266124335E-3</v>
      </c>
      <c r="S42" s="3">
        <f t="shared" si="9"/>
        <v>7.0729842220047722E-3</v>
      </c>
      <c r="T42" s="3">
        <f t="shared" si="9"/>
        <v>1.7398415715796482E-2</v>
      </c>
      <c r="U42" s="3">
        <f t="shared" si="9"/>
        <v>2.8852571689683266E-2</v>
      </c>
      <c r="V42" s="3">
        <f t="shared" si="9"/>
        <v>4.154928640498181E-2</v>
      </c>
      <c r="W42" s="3">
        <f t="shared" si="9"/>
        <v>4.499789213530761E-2</v>
      </c>
      <c r="X42" s="3">
        <f t="shared" si="9"/>
        <v>4.8571977308924923E-2</v>
      </c>
      <c r="Y42" s="3">
        <f t="shared" si="9"/>
        <v>5.2275526521846367E-2</v>
      </c>
      <c r="Z42" s="3">
        <f t="shared" si="9"/>
        <v>5.6112646110091986E-2</v>
      </c>
      <c r="AA42" s="3">
        <f t="shared" si="9"/>
        <v>6.0087567823910844E-2</v>
      </c>
      <c r="AB42" s="3">
        <f t="shared" si="9"/>
        <v>6.4204652612449453E-2</v>
      </c>
      <c r="AC42" s="3">
        <f t="shared" si="9"/>
        <v>6.8468394522182424E-2</v>
      </c>
      <c r="AD42" s="3">
        <f t="shared" si="9"/>
        <v>7.2883424712520947E-2</v>
      </c>
      <c r="AE42" s="3">
        <f t="shared" si="9"/>
        <v>7.7454515592116358E-2</v>
      </c>
    </row>
    <row r="43" spans="2:58" x14ac:dyDescent="0.2">
      <c r="B43" t="s">
        <v>63</v>
      </c>
      <c r="K43" s="11">
        <v>183041766</v>
      </c>
      <c r="L43" s="11">
        <v>210295992</v>
      </c>
      <c r="M43" s="11">
        <v>271019472</v>
      </c>
      <c r="N43" s="11">
        <v>375400000</v>
      </c>
      <c r="O43" s="11">
        <v>375400000</v>
      </c>
      <c r="P43" s="11">
        <v>375400000</v>
      </c>
      <c r="Q43" s="11">
        <v>375400000</v>
      </c>
      <c r="R43" s="11">
        <v>375400000</v>
      </c>
      <c r="S43" s="11">
        <v>375400000</v>
      </c>
      <c r="T43" s="11">
        <v>375400000</v>
      </c>
      <c r="U43" s="11">
        <v>375400000</v>
      </c>
      <c r="V43" s="11">
        <v>375400000</v>
      </c>
      <c r="W43" s="11">
        <v>375400000</v>
      </c>
      <c r="X43" s="11">
        <v>375400000</v>
      </c>
      <c r="Y43" s="11">
        <v>375400000</v>
      </c>
      <c r="Z43" s="11">
        <v>375400000</v>
      </c>
      <c r="AA43" s="11">
        <v>375400000</v>
      </c>
      <c r="AB43" s="11">
        <v>375400000</v>
      </c>
      <c r="AC43" s="11">
        <v>375400000</v>
      </c>
      <c r="AD43" s="11">
        <v>375400000</v>
      </c>
      <c r="AE43" s="11">
        <v>375400000</v>
      </c>
    </row>
    <row r="45" spans="2:58" x14ac:dyDescent="0.2">
      <c r="B45" t="s">
        <v>64</v>
      </c>
      <c r="D45" s="16">
        <f>D9/C9-1</f>
        <v>-0.34389310480177937</v>
      </c>
      <c r="E45" s="16"/>
      <c r="F45" s="16"/>
      <c r="G45" s="16"/>
      <c r="H45" s="16"/>
      <c r="I45" s="16"/>
      <c r="J45" s="16"/>
      <c r="K45" s="16"/>
      <c r="L45" s="16"/>
      <c r="M45" s="16"/>
      <c r="N45" s="16">
        <f>N9/M9-1</f>
        <v>3.9220672682526665</v>
      </c>
      <c r="O45" s="16">
        <f t="shared" ref="O45:Q45" si="10">O9/N9-1</f>
        <v>-0.66228070175438591</v>
      </c>
      <c r="P45" s="16">
        <f t="shared" si="10"/>
        <v>1.0259740259740258</v>
      </c>
      <c r="Q45" s="16">
        <f t="shared" si="10"/>
        <v>0.29487179487179493</v>
      </c>
      <c r="R45" s="5">
        <v>0.1</v>
      </c>
      <c r="S45" s="5">
        <v>0.1</v>
      </c>
      <c r="T45" s="5">
        <v>0.1</v>
      </c>
      <c r="U45" s="5">
        <v>0.1</v>
      </c>
      <c r="V45" s="5">
        <v>0.1</v>
      </c>
      <c r="W45" s="5">
        <v>0.03</v>
      </c>
      <c r="X45" s="5">
        <v>0.03</v>
      </c>
      <c r="Y45" s="5">
        <v>0.03</v>
      </c>
      <c r="Z45" s="5">
        <v>0.03</v>
      </c>
      <c r="AA45" s="5">
        <v>0.03</v>
      </c>
      <c r="AB45" s="5">
        <v>0.03</v>
      </c>
      <c r="AC45" s="5">
        <v>0.03</v>
      </c>
      <c r="AD45" s="5">
        <v>0.03</v>
      </c>
      <c r="AE45" s="5">
        <v>0.03</v>
      </c>
    </row>
    <row r="46" spans="2:58" x14ac:dyDescent="0.2">
      <c r="B46" t="s">
        <v>65</v>
      </c>
      <c r="C46" s="16">
        <f>C11/C9</f>
        <v>0.41035079302775235</v>
      </c>
      <c r="D46" s="16">
        <f t="shared" ref="D46:Q46" si="11">D11/D9</f>
        <v>6.4794033009004215E-2</v>
      </c>
      <c r="E46" s="16"/>
      <c r="F46" s="16">
        <f t="shared" si="11"/>
        <v>0.24458636363636363</v>
      </c>
      <c r="G46" s="16"/>
      <c r="H46" s="16"/>
      <c r="I46" s="16"/>
      <c r="J46" s="16"/>
      <c r="K46" s="16"/>
      <c r="L46" s="16"/>
      <c r="M46" s="16">
        <f t="shared" si="11"/>
        <v>0.314882777082164</v>
      </c>
      <c r="N46" s="16">
        <v>0.35</v>
      </c>
      <c r="O46" s="16">
        <v>0.35</v>
      </c>
      <c r="P46" s="16">
        <v>0.35</v>
      </c>
      <c r="Q46" s="16">
        <v>0.35</v>
      </c>
      <c r="R46" s="16">
        <v>0.35</v>
      </c>
      <c r="S46" s="16">
        <v>0.35</v>
      </c>
      <c r="T46" s="16">
        <v>0.35</v>
      </c>
      <c r="U46" s="16">
        <v>0.35</v>
      </c>
      <c r="V46" s="16">
        <v>0.35</v>
      </c>
      <c r="W46" s="16">
        <v>0.35</v>
      </c>
      <c r="X46" s="16">
        <v>0.35</v>
      </c>
      <c r="Y46" s="16">
        <v>0.35</v>
      </c>
      <c r="Z46" s="16">
        <v>0.35</v>
      </c>
      <c r="AA46" s="16">
        <v>0.35</v>
      </c>
      <c r="AB46" s="16">
        <v>0.35</v>
      </c>
      <c r="AC46" s="16">
        <v>0.35</v>
      </c>
      <c r="AD46" s="16">
        <v>0.35</v>
      </c>
      <c r="AE46" s="16">
        <v>0.35</v>
      </c>
    </row>
    <row r="47" spans="2:58" x14ac:dyDescent="0.2">
      <c r="B47" s="6" t="s">
        <v>66</v>
      </c>
      <c r="C47" s="7"/>
    </row>
    <row r="48" spans="2:58" x14ac:dyDescent="0.2">
      <c r="H48" s="17" t="s">
        <v>75</v>
      </c>
      <c r="I48" s="18">
        <v>7.0000000000000007E-2</v>
      </c>
      <c r="J48" s="18">
        <v>0.01</v>
      </c>
    </row>
    <row r="50" spans="2:9" x14ac:dyDescent="0.2">
      <c r="B50" s="8" t="s">
        <v>67</v>
      </c>
      <c r="C50" s="9">
        <v>7.0000000000000007E-2</v>
      </c>
      <c r="E50" s="10" t="s">
        <v>70</v>
      </c>
      <c r="F50" s="12">
        <v>2.85</v>
      </c>
      <c r="H50" s="17" t="s">
        <v>76</v>
      </c>
      <c r="I50" s="18">
        <v>0</v>
      </c>
    </row>
    <row r="51" spans="2:9" x14ac:dyDescent="0.2">
      <c r="B51" s="8" t="s">
        <v>68</v>
      </c>
      <c r="C51" s="19">
        <f>NPV(C50,N39:BF39)</f>
        <v>179605729.61662886</v>
      </c>
      <c r="E51" s="10" t="s">
        <v>63</v>
      </c>
      <c r="F51" s="15">
        <v>375400000</v>
      </c>
    </row>
    <row r="52" spans="2:9" x14ac:dyDescent="0.2">
      <c r="B52" s="8" t="s">
        <v>69</v>
      </c>
      <c r="C52" s="21">
        <f>C51/F51</f>
        <v>0.47843827814765277</v>
      </c>
      <c r="E52" s="10" t="s">
        <v>71</v>
      </c>
      <c r="F52" s="12">
        <f>F50*F51</f>
        <v>1069890000</v>
      </c>
    </row>
    <row r="53" spans="2:9" x14ac:dyDescent="0.2">
      <c r="E53" s="10" t="s">
        <v>72</v>
      </c>
      <c r="F53" s="12">
        <v>33000000</v>
      </c>
    </row>
    <row r="54" spans="2:9" x14ac:dyDescent="0.2">
      <c r="E54" s="10" t="s">
        <v>73</v>
      </c>
      <c r="F54" s="12">
        <v>13000000</v>
      </c>
    </row>
    <row r="55" spans="2:9" x14ac:dyDescent="0.2">
      <c r="E55" s="10" t="s">
        <v>74</v>
      </c>
      <c r="F55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mccall</dc:creator>
  <cp:lastModifiedBy>suzanne mccall</cp:lastModifiedBy>
  <dcterms:created xsi:type="dcterms:W3CDTF">2023-04-14T17:25:53Z</dcterms:created>
  <dcterms:modified xsi:type="dcterms:W3CDTF">2023-04-14T21:01:01Z</dcterms:modified>
</cp:coreProperties>
</file>