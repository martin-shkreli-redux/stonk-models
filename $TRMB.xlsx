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TRMB/"/>
    </mc:Choice>
  </mc:AlternateContent>
  <xr:revisionPtr revIDLastSave="0" documentId="13_ncr:1_{50A82BC7-6885-0746-B735-DC1A4EC5B19A}" xr6:coauthVersionLast="45" xr6:coauthVersionMax="45" xr10:uidLastSave="{00000000-0000-0000-0000-000000000000}"/>
  <bookViews>
    <workbookView xWindow="3500" yWindow="1040" windowWidth="30300" windowHeight="19560" xr2:uid="{228AFF32-F6E0-BE4F-A715-BAF0885F9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6" i="1" l="1"/>
  <c r="Q21" i="1" s="1"/>
  <c r="P16" i="1"/>
  <c r="N28" i="1"/>
  <c r="N29" i="1" s="1"/>
  <c r="N36" i="1" s="1"/>
  <c r="G46" i="1"/>
  <c r="M46" i="1"/>
  <c r="L46" i="1"/>
  <c r="K46" i="1"/>
  <c r="J46" i="1"/>
  <c r="I46" i="1"/>
  <c r="H46" i="1"/>
  <c r="O21" i="1"/>
  <c r="N21" i="1"/>
  <c r="Q22" i="1"/>
  <c r="P22" i="1"/>
  <c r="O22" i="1"/>
  <c r="N22" i="1"/>
  <c r="F48" i="1"/>
  <c r="O42" i="1"/>
  <c r="N42" i="1"/>
  <c r="M44" i="1"/>
  <c r="L44" i="1"/>
  <c r="K44" i="1"/>
  <c r="J44" i="1"/>
  <c r="I44" i="1"/>
  <c r="H44" i="1"/>
  <c r="G44" i="1"/>
  <c r="F44" i="1"/>
  <c r="E44" i="1"/>
  <c r="D44" i="1"/>
  <c r="C44" i="1"/>
  <c r="M10" i="1"/>
  <c r="L10" i="1"/>
  <c r="K10" i="1"/>
  <c r="J10" i="1"/>
  <c r="I10" i="1"/>
  <c r="H10" i="1"/>
  <c r="G10" i="1"/>
  <c r="F10" i="1"/>
  <c r="E10" i="1"/>
  <c r="D10" i="1"/>
  <c r="C10" i="1"/>
  <c r="M9" i="1"/>
  <c r="L9" i="1"/>
  <c r="K9" i="1"/>
  <c r="J9" i="1"/>
  <c r="I9" i="1"/>
  <c r="H9" i="1"/>
  <c r="G9" i="1"/>
  <c r="F9" i="1"/>
  <c r="E9" i="1"/>
  <c r="D9" i="1"/>
  <c r="M8" i="1"/>
  <c r="L8" i="1"/>
  <c r="K8" i="1"/>
  <c r="J8" i="1"/>
  <c r="I8" i="1"/>
  <c r="H8" i="1"/>
  <c r="G8" i="1"/>
  <c r="F8" i="1"/>
  <c r="E8" i="1"/>
  <c r="D8" i="1"/>
  <c r="C8" i="1"/>
  <c r="M7" i="1"/>
  <c r="L7" i="1"/>
  <c r="K7" i="1"/>
  <c r="J7" i="1"/>
  <c r="I7" i="1"/>
  <c r="H7" i="1"/>
  <c r="G7" i="1"/>
  <c r="F7" i="1"/>
  <c r="E7" i="1"/>
  <c r="D7" i="1"/>
  <c r="M6" i="1"/>
  <c r="L6" i="1"/>
  <c r="K6" i="1"/>
  <c r="J6" i="1"/>
  <c r="I6" i="1"/>
  <c r="H6" i="1"/>
  <c r="G6" i="1"/>
  <c r="F6" i="1"/>
  <c r="E6" i="1"/>
  <c r="D6" i="1"/>
  <c r="C6" i="1"/>
  <c r="M5" i="1"/>
  <c r="L5" i="1"/>
  <c r="K5" i="1"/>
  <c r="J5" i="1"/>
  <c r="I5" i="1"/>
  <c r="H5" i="1"/>
  <c r="G5" i="1"/>
  <c r="F5" i="1"/>
  <c r="E5" i="1"/>
  <c r="D5" i="1"/>
  <c r="M35" i="1"/>
  <c r="L35" i="1"/>
  <c r="K35" i="1"/>
  <c r="J35" i="1"/>
  <c r="I35" i="1"/>
  <c r="H35" i="1"/>
  <c r="G35" i="1"/>
  <c r="F35" i="1"/>
  <c r="E35" i="1"/>
  <c r="D35" i="1"/>
  <c r="C35" i="1"/>
  <c r="M28" i="1"/>
  <c r="L28" i="1"/>
  <c r="K28" i="1"/>
  <c r="J28" i="1"/>
  <c r="I28" i="1"/>
  <c r="H28" i="1"/>
  <c r="G28" i="1"/>
  <c r="F28" i="1"/>
  <c r="E28" i="1"/>
  <c r="D28" i="1"/>
  <c r="C28" i="1"/>
  <c r="C22" i="1"/>
  <c r="C43" i="1" s="1"/>
  <c r="M21" i="1"/>
  <c r="L21" i="1"/>
  <c r="K21" i="1"/>
  <c r="J21" i="1"/>
  <c r="I21" i="1"/>
  <c r="H21" i="1"/>
  <c r="G21" i="1"/>
  <c r="F21" i="1"/>
  <c r="E21" i="1"/>
  <c r="D21" i="1"/>
  <c r="C21" i="1"/>
  <c r="M16" i="1"/>
  <c r="M42" i="1" s="1"/>
  <c r="L16" i="1"/>
  <c r="L42" i="1" s="1"/>
  <c r="K16" i="1"/>
  <c r="K42" i="1" s="1"/>
  <c r="J16" i="1"/>
  <c r="J42" i="1" s="1"/>
  <c r="I16" i="1"/>
  <c r="I42" i="1" s="1"/>
  <c r="H16" i="1"/>
  <c r="H42" i="1" s="1"/>
  <c r="G16" i="1"/>
  <c r="G42" i="1" s="1"/>
  <c r="F16" i="1"/>
  <c r="F42" i="1" s="1"/>
  <c r="E16" i="1"/>
  <c r="E42" i="1" s="1"/>
  <c r="D16" i="1"/>
  <c r="D22" i="1" s="1"/>
  <c r="D29" i="1" s="1"/>
  <c r="D36" i="1" s="1"/>
  <c r="D38" i="1" s="1"/>
  <c r="C16" i="1"/>
  <c r="N37" i="1" l="1"/>
  <c r="N38" i="1" s="1"/>
  <c r="O28" i="1"/>
  <c r="P21" i="1"/>
  <c r="R16" i="1"/>
  <c r="D42" i="1"/>
  <c r="C29" i="1"/>
  <c r="C36" i="1" s="1"/>
  <c r="C38" i="1" s="1"/>
  <c r="E22" i="1"/>
  <c r="D43" i="1"/>
  <c r="M22" i="1"/>
  <c r="L22" i="1"/>
  <c r="K22" i="1"/>
  <c r="J22" i="1"/>
  <c r="I22" i="1"/>
  <c r="H22" i="1"/>
  <c r="G22" i="1"/>
  <c r="F22" i="1"/>
  <c r="N39" i="1" l="1"/>
  <c r="P28" i="1"/>
  <c r="O29" i="1"/>
  <c r="O36" i="1" s="1"/>
  <c r="S16" i="1"/>
  <c r="R22" i="1"/>
  <c r="R21" i="1"/>
  <c r="F29" i="1"/>
  <c r="F36" i="1" s="1"/>
  <c r="F38" i="1" s="1"/>
  <c r="F43" i="1"/>
  <c r="J29" i="1"/>
  <c r="J36" i="1" s="1"/>
  <c r="J38" i="1" s="1"/>
  <c r="J43" i="1"/>
  <c r="G29" i="1"/>
  <c r="G36" i="1" s="1"/>
  <c r="G38" i="1" s="1"/>
  <c r="G43" i="1"/>
  <c r="K29" i="1"/>
  <c r="K36" i="1" s="1"/>
  <c r="K38" i="1" s="1"/>
  <c r="K39" i="1" s="1"/>
  <c r="K43" i="1"/>
  <c r="E29" i="1"/>
  <c r="E36" i="1" s="1"/>
  <c r="E38" i="1" s="1"/>
  <c r="E43" i="1"/>
  <c r="H29" i="1"/>
  <c r="H36" i="1" s="1"/>
  <c r="H38" i="1" s="1"/>
  <c r="H43" i="1"/>
  <c r="L29" i="1"/>
  <c r="L36" i="1" s="1"/>
  <c r="L38" i="1" s="1"/>
  <c r="L39" i="1" s="1"/>
  <c r="L43" i="1"/>
  <c r="I29" i="1"/>
  <c r="I36" i="1" s="1"/>
  <c r="I38" i="1" s="1"/>
  <c r="I43" i="1"/>
  <c r="M29" i="1"/>
  <c r="M36" i="1" s="1"/>
  <c r="M38" i="1" s="1"/>
  <c r="M39" i="1" s="1"/>
  <c r="M43" i="1"/>
  <c r="O37" i="1" l="1"/>
  <c r="O38" i="1"/>
  <c r="Q28" i="1"/>
  <c r="P29" i="1"/>
  <c r="P36" i="1" s="1"/>
  <c r="S22" i="1"/>
  <c r="T16" i="1"/>
  <c r="O39" i="1" l="1"/>
  <c r="P37" i="1"/>
  <c r="P38" i="1" s="1"/>
  <c r="R28" i="1"/>
  <c r="Q29" i="1"/>
  <c r="Q36" i="1" s="1"/>
  <c r="T21" i="1"/>
  <c r="U16" i="1"/>
  <c r="T22" i="1"/>
  <c r="S21" i="1"/>
  <c r="P39" i="1" l="1"/>
  <c r="Q37" i="1"/>
  <c r="Q38" i="1" s="1"/>
  <c r="S28" i="1"/>
  <c r="R29" i="1"/>
  <c r="R36" i="1" s="1"/>
  <c r="V16" i="1"/>
  <c r="U22" i="1"/>
  <c r="Q39" i="1" l="1"/>
  <c r="R37" i="1"/>
  <c r="R38" i="1" s="1"/>
  <c r="T28" i="1"/>
  <c r="S29" i="1"/>
  <c r="S36" i="1" s="1"/>
  <c r="W16" i="1"/>
  <c r="V22" i="1"/>
  <c r="U21" i="1"/>
  <c r="R39" i="1" l="1"/>
  <c r="S37" i="1"/>
  <c r="S38" i="1"/>
  <c r="S39" i="1" s="1"/>
  <c r="U28" i="1"/>
  <c r="T29" i="1"/>
  <c r="T36" i="1" s="1"/>
  <c r="V21" i="1"/>
  <c r="W22" i="1"/>
  <c r="W21" i="1"/>
  <c r="X16" i="1"/>
  <c r="V28" i="1" l="1"/>
  <c r="U29" i="1"/>
  <c r="U36" i="1" s="1"/>
  <c r="T37" i="1"/>
  <c r="T38" i="1"/>
  <c r="T39" i="1" s="1"/>
  <c r="Y16" i="1"/>
  <c r="X22" i="1"/>
  <c r="U37" i="1" l="1"/>
  <c r="U38" i="1" s="1"/>
  <c r="U39" i="1" s="1"/>
  <c r="W28" i="1"/>
  <c r="V29" i="1"/>
  <c r="V36" i="1" s="1"/>
  <c r="X21" i="1"/>
  <c r="Z16" i="1"/>
  <c r="Y22" i="1"/>
  <c r="X28" i="1" l="1"/>
  <c r="W29" i="1"/>
  <c r="W36" i="1" s="1"/>
  <c r="V38" i="1"/>
  <c r="V39" i="1" s="1"/>
  <c r="V37" i="1"/>
  <c r="Y21" i="1"/>
  <c r="AA16" i="1"/>
  <c r="Z22" i="1"/>
  <c r="W37" i="1" l="1"/>
  <c r="W38" i="1" s="1"/>
  <c r="W39" i="1" s="1"/>
  <c r="Y28" i="1"/>
  <c r="X29" i="1"/>
  <c r="X36" i="1" s="1"/>
  <c r="Z21" i="1"/>
  <c r="AA22" i="1"/>
  <c r="AB16" i="1"/>
  <c r="X37" i="1" l="1"/>
  <c r="X38" i="1" s="1"/>
  <c r="X39" i="1" s="1"/>
  <c r="Z28" i="1"/>
  <c r="Y29" i="1"/>
  <c r="Y36" i="1" s="1"/>
  <c r="AC16" i="1"/>
  <c r="AB22" i="1"/>
  <c r="AA21" i="1"/>
  <c r="AA28" i="1" l="1"/>
  <c r="Z29" i="1"/>
  <c r="Z36" i="1" s="1"/>
  <c r="Y37" i="1"/>
  <c r="Y38" i="1" s="1"/>
  <c r="Y39" i="1" s="1"/>
  <c r="AD16" i="1"/>
  <c r="AC22" i="1"/>
  <c r="AB21" i="1"/>
  <c r="AB28" i="1" l="1"/>
  <c r="AA29" i="1"/>
  <c r="AA36" i="1" s="1"/>
  <c r="Z37" i="1"/>
  <c r="Z38" i="1" s="1"/>
  <c r="Z39" i="1" s="1"/>
  <c r="AE16" i="1"/>
  <c r="AD22" i="1"/>
  <c r="AC21" i="1"/>
  <c r="AA37" i="1" l="1"/>
  <c r="AA38" i="1" s="1"/>
  <c r="AA39" i="1" s="1"/>
  <c r="AC28" i="1"/>
  <c r="AB29" i="1"/>
  <c r="AB36" i="1" s="1"/>
  <c r="AE22" i="1"/>
  <c r="AE21" i="1"/>
  <c r="AD21" i="1"/>
  <c r="AD28" i="1" l="1"/>
  <c r="AC29" i="1"/>
  <c r="AC36" i="1" s="1"/>
  <c r="AB37" i="1"/>
  <c r="AB38" i="1" s="1"/>
  <c r="AB39" i="1" s="1"/>
  <c r="AC37" i="1" l="1"/>
  <c r="AC38" i="1" s="1"/>
  <c r="AC39" i="1" s="1"/>
  <c r="AE28" i="1"/>
  <c r="AE29" i="1" s="1"/>
  <c r="AE36" i="1" s="1"/>
  <c r="AD29" i="1"/>
  <c r="AD36" i="1" s="1"/>
  <c r="AE37" i="1" l="1"/>
  <c r="AE38" i="1" s="1"/>
  <c r="AD37" i="1"/>
  <c r="AD38" i="1" s="1"/>
  <c r="AD39" i="1" s="1"/>
  <c r="AE39" i="1" l="1"/>
  <c r="AF38" i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C47" i="1" s="1"/>
  <c r="C48" i="1" s="1"/>
</calcChain>
</file>

<file path=xl/sharedStrings.xml><?xml version="1.0" encoding="utf-8"?>
<sst xmlns="http://schemas.openxmlformats.org/spreadsheetml/2006/main" count="77" uniqueCount="76">
  <si>
    <t>Product Rev</t>
  </si>
  <si>
    <t>Service Rev</t>
  </si>
  <si>
    <t>Subscribtion Rev</t>
  </si>
  <si>
    <t>Product Cost</t>
  </si>
  <si>
    <t>Service Cost</t>
  </si>
  <si>
    <t>Subscribtion Cost</t>
  </si>
  <si>
    <t>COGS</t>
  </si>
  <si>
    <t>REV</t>
  </si>
  <si>
    <t>Amoritization of purchased intangible assets</t>
  </si>
  <si>
    <t xml:space="preserve">Gross Profit </t>
  </si>
  <si>
    <t>R&amp;D</t>
  </si>
  <si>
    <t xml:space="preserve">Sales &amp; Marketing </t>
  </si>
  <si>
    <t>General &amp; Administrative</t>
  </si>
  <si>
    <t xml:space="preserve">Restructuring charges </t>
  </si>
  <si>
    <t>Amortization of purchased intangible assets</t>
  </si>
  <si>
    <t xml:space="preserve">Op Expence </t>
  </si>
  <si>
    <t xml:space="preserve">Op Income </t>
  </si>
  <si>
    <t>Intrest Expense, net</t>
  </si>
  <si>
    <t>Foreign currenct transaction loss, net</t>
  </si>
  <si>
    <t>Income from equity method investments, net</t>
  </si>
  <si>
    <t>Other income, net</t>
  </si>
  <si>
    <t xml:space="preserve">None Operating Income </t>
  </si>
  <si>
    <t>Pre Tax</t>
  </si>
  <si>
    <t>Tax</t>
  </si>
  <si>
    <t xml:space="preserve">Net Income </t>
  </si>
  <si>
    <t xml:space="preserve">F2012 </t>
  </si>
  <si>
    <t>F2013</t>
  </si>
  <si>
    <t>F2014</t>
  </si>
  <si>
    <t>F2015</t>
  </si>
  <si>
    <t>F2016</t>
  </si>
  <si>
    <t>F2017</t>
  </si>
  <si>
    <t>F2018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</si>
  <si>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</si>
  <si>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</si>
  <si>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</si>
  <si>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</si>
  <si>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</si>
  <si>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</si>
  <si>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</si>
  <si>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</si>
  <si>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</si>
  <si>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</si>
  <si>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</si>
  <si>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</si>
  <si>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</si>
  <si>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</si>
  <si>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</si>
  <si>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F20234</t>
  </si>
  <si>
    <t>F2036</t>
  </si>
  <si>
    <t>F2037</t>
  </si>
  <si>
    <t>F2038</t>
  </si>
  <si>
    <t>F2039</t>
  </si>
  <si>
    <t>F2040</t>
  </si>
  <si>
    <t>F2035</t>
  </si>
  <si>
    <t>product y/y</t>
  </si>
  <si>
    <t>service y/y</t>
  </si>
  <si>
    <t>subscribtion y/y</t>
  </si>
  <si>
    <t xml:space="preserve">EPS </t>
  </si>
  <si>
    <t>Shares</t>
  </si>
  <si>
    <t xml:space="preserve">Discount </t>
  </si>
  <si>
    <t>NPV</t>
  </si>
  <si>
    <t>Share</t>
  </si>
  <si>
    <t>Rev y/y</t>
  </si>
  <si>
    <t>Gross Margin</t>
  </si>
  <si>
    <t>Divestitures gain, net</t>
  </si>
  <si>
    <t>product gross margin</t>
  </si>
  <si>
    <t>service gross margin</t>
  </si>
  <si>
    <t>subscribtion gross margin</t>
  </si>
  <si>
    <t>Price</t>
  </si>
  <si>
    <t>Debt</t>
  </si>
  <si>
    <t>EV</t>
  </si>
  <si>
    <t xml:space="preserve">Terminal Net Income </t>
  </si>
  <si>
    <t>Tax Rate</t>
  </si>
  <si>
    <t>MC</t>
  </si>
  <si>
    <t>Cash</t>
  </si>
  <si>
    <t>Op Expence y/y 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</si>
</sst>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44" fontId="0" fillId="0" borderId="0" xfId="2" applyFont="1"/>
    <xf numFmtId="44" fontId="2" fillId="0" borderId="0" xfId="2" applyFont="1"/>
    <xf numFmtId="0" fontId="2" fillId="2" borderId="0" xfId="0" applyFont="1" applyFill="1"/>
    <xf numFmtId="44" fontId="2" fillId="2" borderId="0" xfId="2" applyFont="1" applyFill="1"/>
    <xf numFmtId="9" fontId="0" fillId="0" borderId="0" xfId="0" applyNumberFormat="1"/>
    <xf numFmtId="0" fontId="0" fillId="3" borderId="0" xfId="0" applyFill="1"/>
    <xf numFmtId="9" fontId="0" fillId="3" borderId="0" xfId="0" applyNumberFormat="1" applyFill="1"/>
    <xf numFmtId="43" fontId="0" fillId="0" borderId="0" xfId="1" applyFont="1"/>
    <xf numFmtId="9" fontId="0" fillId="0" borderId="0" xfId="3" applyFont="1"/>
    <xf numFmtId="0" fontId="0" fillId="4" borderId="0" xfId="0" applyFill="1"/>
    <xf numFmtId="9" fontId="0" fillId="4" borderId="0" xfId="3" applyFont="1" applyFill="1"/>
    <xf numFmtId="0" fontId="0" fillId="5" borderId="0" xfId="0" applyFill="1"/>
    <xf numFmtId="9" fontId="0" fillId="5" borderId="0" xfId="3" applyFont="1" applyFill="1"/>
    <xf numFmtId="0" fontId="0" fillId="6" borderId="0" xfId="0" applyFill="1"/>
    <xf numFmtId="9" fontId="0" fillId="4" borderId="0" xfId="0" applyNumberFormat="1" applyFill="1"/>
    <xf numFmtId="0" fontId="0" fillId="7" borderId="0" xfId="0" applyFill="1"/>
    <xf numFmtId="9" fontId="0" fillId="0" borderId="0" xfId="3" applyFont="1" applyFill="1"/>
    <xf numFmtId="43" fontId="0" fillId="6" borderId="0" xfId="1" applyFont="1" applyFill="1"/>
    <xf numFmtId="44" fontId="0" fillId="6" borderId="0" xfId="2" applyFont="1" applyFill="1"/>
    <xf numFmtId="44" fontId="0" fillId="0" borderId="0" xfId="0" applyNumberFormat="1"/>
    <xf numFmtId="8" fontId="0" fillId="3" borderId="0" xfId="0" applyNumberFormat="1" applyFill="1"/>
    <xf numFmtId="44" fontId="0" fillId="3" borderId="0" xfId="2" applyFont="1" applyFill="1"/>
    <xf numFmtId="14" fontId="2" fillId="0" borderId="0" xfId="0" applyNumberFormat="1" applyFont="1"/>
    <xf numFmtId="0" fontId="0" fillId="0" borderId="0" xfId="0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1333500</xdr:colOff>
      <xdr:row>2</xdr:row>
      <xdr:rowOff>177800</xdr:rowOff>
    </xdr:from>
    <xdr:to>
      <xdr:col>12</xdr:col>
      <xdr:colOff>1333500</xdr:colOff>
      <xdr:row>45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FE0680A-0AE0-EA44-93E7-AA033F41EF9C}"/>
            </a:ext>
          </a:extLst>
        </xdr:cNvPr>
        <xdr:cNvCxnSpPr/>
      </xdr:nvCxnSpPr>
      <xdr:spPr>
        <a:xfrm>
          <a:off x="18465800" y="584200"/>
          <a:ext cx="0" cy="8432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1333500</xdr:colOff>
      <xdr:row>14</xdr:row>
      <xdr:rowOff>101600</xdr:rowOff>
    </xdr:from>
    <xdr:to>
      <xdr:col>14</xdr:col>
      <xdr:colOff>1333500</xdr:colOff>
      <xdr:row>17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DE8F030-ED77-5749-8E8A-D71662C9926B}"/>
            </a:ext>
          </a:extLst>
        </xdr:cNvPr>
        <xdr:cNvCxnSpPr/>
      </xdr:nvCxnSpPr>
      <xdr:spPr>
        <a:xfrm>
          <a:off x="21209000" y="2946400"/>
          <a:ext cx="0" cy="508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12700</xdr:colOff>
      <xdr:row>40</xdr:row>
      <xdr:rowOff>139700</xdr:rowOff>
    </xdr:from>
    <xdr:to>
      <xdr:col>15</xdr:col>
      <xdr:colOff>12700</xdr:colOff>
      <xdr:row>42</xdr:row>
      <xdr:rowOff>114300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1875067-E2EB-F84C-9A38-D15103CCBE4E}"/>
            </a:ext>
          </a:extLst>
        </xdr:cNvPr>
        <xdr:cNvCxnSpPr/>
      </xdr:nvCxnSpPr>
      <xdr:spPr>
        <a:xfrm>
          <a:off x="21310600" y="8267700"/>
          <a:ext cx="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17C7-3221-5D4C-82BA-92AB6C20A368}">
  <dimension ref="B2:BD51"/>
  <sheetViews>
    <sheetView tabSelected="1" topLeftCell="A6" workbookViewId="0">
      <selection activeCell="H47" sqref="H47"/>
    </sheetView>
  </sheetViews>
  <sheetFormatPr baseColWidth="10" defaultRowHeight="16" x14ac:dyDescent="0.2"/>
  <cols>
    <col min="2" max="2" width="37.33203125" customWidth="1"/>
    <col min="3" max="3" width="18" bestFit="1" customWidth="1"/>
    <col min="4" max="5" width="17.6640625" bestFit="1" customWidth="1"/>
    <col min="6" max="6" width="18.6640625" bestFit="1" customWidth="1"/>
    <col min="7" max="7" width="17.6640625" bestFit="1" customWidth="1"/>
    <col min="8" max="8" width="18.33203125" customWidth="1"/>
    <col min="9" max="15" width="17.6640625" bestFit="1" customWidth="1"/>
    <col min="16" max="31" width="18.33203125" bestFit="1" customWidth="1"/>
    <col min="32" max="56" width="17.6640625" bestFit="1" customWidth="1"/>
  </cols>
  <sheetData>
    <row r="2" spans="2:31" x14ac:dyDescent="0.2">
      <c r="B2" s="24">
        <v>45031</v>
      </c>
    </row>
    <row r="5" spans="2:31" x14ac:dyDescent="0.2">
      <c r="B5" s="11" t="s">
        <v>54</v>
      </c>
      <c r="C5" s="11"/>
      <c r="D5" s="12">
        <f>D13/C13-1</f>
        <v>5.2961917069512809E-2</v>
      </c>
      <c r="E5" s="12">
        <f t="shared" ref="E5:M5" si="0">E13/D13-1</f>
        <v>3.8545666120190392E-2</v>
      </c>
      <c r="F5" s="12">
        <f t="shared" si="0"/>
        <v>-0.10508157267542972</v>
      </c>
      <c r="G5" s="12">
        <f t="shared" si="0"/>
        <v>1.8584936419954401E-2</v>
      </c>
      <c r="H5" s="12">
        <f t="shared" si="0"/>
        <v>0.12919334186939824</v>
      </c>
      <c r="I5" s="12">
        <f t="shared" si="0"/>
        <v>0.13385871413992523</v>
      </c>
      <c r="J5" s="12">
        <f t="shared" si="0"/>
        <v>-3.2551627581379083E-2</v>
      </c>
      <c r="K5" s="12">
        <f t="shared" si="0"/>
        <v>-5.5199503824684748E-2</v>
      </c>
      <c r="L5" s="12">
        <f t="shared" si="0"/>
        <v>0.22948577680525162</v>
      </c>
      <c r="M5" s="12">
        <f t="shared" si="0"/>
        <v>-4.2491657397107918E-2</v>
      </c>
    </row>
    <row r="6" spans="2:31" x14ac:dyDescent="0.2">
      <c r="B6" s="13" t="s">
        <v>65</v>
      </c>
      <c r="C6" s="14">
        <f>(C13-C17)/C13</f>
        <v>0.51018618676111616</v>
      </c>
      <c r="D6" s="14">
        <f t="shared" ref="D6:M6" si="1">(D13-D17)/D13</f>
        <v>0.52932516750355307</v>
      </c>
      <c r="E6" s="14">
        <f t="shared" si="1"/>
        <v>0.54007320415228144</v>
      </c>
      <c r="F6" s="14">
        <f t="shared" si="1"/>
        <v>0.52324747310074993</v>
      </c>
      <c r="G6" s="14">
        <f t="shared" si="1"/>
        <v>0.51293213828425099</v>
      </c>
      <c r="H6" s="14">
        <f t="shared" si="1"/>
        <v>0.50873114865631019</v>
      </c>
      <c r="I6" s="14">
        <f t="shared" si="1"/>
        <v>0.53052652632631636</v>
      </c>
      <c r="J6" s="14">
        <f t="shared" si="1"/>
        <v>0.51447178002894356</v>
      </c>
      <c r="K6" s="14">
        <f t="shared" si="1"/>
        <v>0.53227571115973737</v>
      </c>
      <c r="L6" s="14">
        <f t="shared" si="1"/>
        <v>0.51497219132369298</v>
      </c>
      <c r="M6" s="14">
        <f t="shared" si="1"/>
        <v>0.51389405204460969</v>
      </c>
    </row>
    <row r="7" spans="2:31" x14ac:dyDescent="0.2">
      <c r="B7" s="11" t="s">
        <v>55</v>
      </c>
      <c r="C7" s="11"/>
      <c r="D7" s="12">
        <f>D14/C14-1</f>
        <v>0.38565706438839209</v>
      </c>
      <c r="E7" s="12">
        <f t="shared" ref="E7:M7" si="2">E14/D14-1</f>
        <v>8.726398260649959E-2</v>
      </c>
      <c r="F7" s="12">
        <f t="shared" si="2"/>
        <v>6.018754639425139E-2</v>
      </c>
      <c r="G7" s="12">
        <f t="shared" si="2"/>
        <v>2.4529649916646745E-2</v>
      </c>
      <c r="H7" s="12">
        <f t="shared" si="2"/>
        <v>7.2989307298930717E-2</v>
      </c>
      <c r="I7" s="12">
        <f t="shared" si="2"/>
        <v>0.27534662045060654</v>
      </c>
      <c r="J7" s="12">
        <f t="shared" si="2"/>
        <v>0.16561916086291828</v>
      </c>
      <c r="K7" s="12">
        <f t="shared" si="2"/>
        <v>-6.0332264645875822E-2</v>
      </c>
      <c r="L7" s="12">
        <f t="shared" si="2"/>
        <v>7.1339950372208971E-3</v>
      </c>
      <c r="M7" s="12">
        <f t="shared" si="2"/>
        <v>-1.2473052048044386E-2</v>
      </c>
    </row>
    <row r="8" spans="2:31" x14ac:dyDescent="0.2">
      <c r="B8" s="13" t="s">
        <v>66</v>
      </c>
      <c r="C8" s="14">
        <f>(C14-C18)/C14</f>
        <v>0.61852340721749488</v>
      </c>
      <c r="D8" s="14">
        <f t="shared" ref="D8:M8" si="3">(D14-D18)/D14</f>
        <v>0.6104470810433904</v>
      </c>
      <c r="E8" s="14">
        <f t="shared" si="3"/>
        <v>0.61467649004448799</v>
      </c>
      <c r="F8" s="14">
        <f t="shared" si="3"/>
        <v>0.60895451297928083</v>
      </c>
      <c r="G8" s="14">
        <f t="shared" si="3"/>
        <v>0.60506741050674107</v>
      </c>
      <c r="H8" s="14">
        <f t="shared" si="3"/>
        <v>0.57474003466204504</v>
      </c>
      <c r="I8" s="14">
        <f t="shared" si="3"/>
        <v>0.57992186172923388</v>
      </c>
      <c r="J8" s="14">
        <f t="shared" si="3"/>
        <v>0.62999125619352958</v>
      </c>
      <c r="K8" s="14">
        <f t="shared" si="3"/>
        <v>0.63632133995037221</v>
      </c>
      <c r="L8" s="14">
        <f t="shared" si="3"/>
        <v>0.64598090545118569</v>
      </c>
      <c r="M8" s="14">
        <f t="shared" si="3"/>
        <v>0.63246530484952446</v>
      </c>
    </row>
    <row r="9" spans="2:31" x14ac:dyDescent="0.2">
      <c r="B9" s="11" t="s">
        <v>56</v>
      </c>
      <c r="C9" s="11"/>
      <c r="D9" s="12">
        <f>D15/C15-1</f>
        <v>0.30266969165132762</v>
      </c>
      <c r="E9" s="12">
        <f t="shared" ref="E9:M9" si="4">E15/D15-1</f>
        <v>4.3941800390674857E-2</v>
      </c>
      <c r="F9" s="12">
        <f t="shared" si="4"/>
        <v>0.17865137101287076</v>
      </c>
      <c r="G9" s="12">
        <f t="shared" si="4"/>
        <v>9.7922848664688367E-2</v>
      </c>
      <c r="H9" s="12">
        <f t="shared" si="4"/>
        <v>0.15891891891891885</v>
      </c>
      <c r="I9" s="12">
        <f t="shared" si="4"/>
        <v>0.21222014925373145</v>
      </c>
      <c r="J9" s="12">
        <f t="shared" si="4"/>
        <v>0.23759138130050017</v>
      </c>
      <c r="K9" s="12">
        <f t="shared" si="4"/>
        <v>4.9121716151095951E-2</v>
      </c>
      <c r="L9" s="12">
        <f t="shared" si="4"/>
        <v>0.12935249666617277</v>
      </c>
      <c r="M9" s="12">
        <f t="shared" si="4"/>
        <v>0.1584885856730518</v>
      </c>
    </row>
    <row r="10" spans="2:31" x14ac:dyDescent="0.2">
      <c r="B10" s="13" t="s">
        <v>67</v>
      </c>
      <c r="C10" s="14">
        <f>(C15-C19)/C15</f>
        <v>0.68681420601287047</v>
      </c>
      <c r="D10" s="14">
        <f t="shared" ref="D10:M10" si="5">(D15-D19)/D15</f>
        <v>0.6908118370849079</v>
      </c>
      <c r="E10" s="14">
        <f t="shared" si="5"/>
        <v>0.71648363178511476</v>
      </c>
      <c r="F10" s="14">
        <f t="shared" si="5"/>
        <v>0.7023738872403561</v>
      </c>
      <c r="G10" s="14">
        <f t="shared" si="5"/>
        <v>0.7164864864864865</v>
      </c>
      <c r="H10" s="14">
        <f t="shared" si="5"/>
        <v>0.73647388059701491</v>
      </c>
      <c r="I10" s="14">
        <f t="shared" si="5"/>
        <v>0.73451327433628322</v>
      </c>
      <c r="J10" s="14">
        <f t="shared" si="5"/>
        <v>0.69532100108813932</v>
      </c>
      <c r="K10" s="14">
        <f t="shared" si="5"/>
        <v>0.68736109053193062</v>
      </c>
      <c r="L10" s="14">
        <f t="shared" si="5"/>
        <v>0.71569141957491467</v>
      </c>
      <c r="M10" s="14">
        <f t="shared" si="5"/>
        <v>0.76908267270668174</v>
      </c>
    </row>
    <row r="12" spans="2:31" x14ac:dyDescent="0.2">
      <c r="C12" s="1" t="s">
        <v>25</v>
      </c>
      <c r="D12" s="1" t="s">
        <v>26</v>
      </c>
      <c r="E12" s="1" t="s">
        <v>27</v>
      </c>
      <c r="F12" s="1" t="s">
        <v>28</v>
      </c>
      <c r="G12" s="1" t="s">
        <v>29</v>
      </c>
      <c r="H12" s="1" t="s">
        <v>30</v>
      </c>
      <c r="I12" s="1" t="s">
        <v>31</v>
      </c>
      <c r="J12" s="1" t="s">
        <v>32</v>
      </c>
      <c r="K12" s="1" t="s">
        <v>33</v>
      </c>
      <c r="L12" s="1" t="s">
        <v>34</v>
      </c>
      <c r="M12" s="1" t="s">
        <v>35</v>
      </c>
      <c r="N12" s="1" t="s">
        <v>36</v>
      </c>
      <c r="O12" s="1" t="s">
        <v>37</v>
      </c>
      <c r="P12" s="1" t="s">
        <v>38</v>
      </c>
      <c r="Q12" s="1" t="s">
        <v>39</v>
      </c>
      <c r="R12" s="1" t="s">
        <v>40</v>
      </c>
      <c r="S12" s="1" t="s">
        <v>41</v>
      </c>
      <c r="T12" s="1" t="s">
        <v>42</v>
      </c>
      <c r="U12" s="1" t="s">
        <v>43</v>
      </c>
      <c r="V12" s="1" t="s">
        <v>44</v>
      </c>
      <c r="W12" s="1" t="s">
        <v>45</v>
      </c>
      <c r="X12" s="1" t="s">
        <v>46</v>
      </c>
      <c r="Y12" s="1" t="s">
        <v>47</v>
      </c>
      <c r="Z12" s="1" t="s">
        <v>53</v>
      </c>
      <c r="AA12" s="1" t="s">
        <v>48</v>
      </c>
      <c r="AB12" s="1" t="s">
        <v>49</v>
      </c>
      <c r="AC12" s="1" t="s">
        <v>50</v>
      </c>
      <c r="AD12" s="1" t="s">
        <v>51</v>
      </c>
      <c r="AE12" s="1" t="s">
        <v>52</v>
      </c>
    </row>
    <row r="13" spans="2:31" x14ac:dyDescent="0.2">
      <c r="B13" t="s">
        <v>0</v>
      </c>
      <c r="C13" s="2">
        <v>1566975000</v>
      </c>
      <c r="D13" s="2">
        <v>1649965000</v>
      </c>
      <c r="E13" s="2">
        <v>1713564000</v>
      </c>
      <c r="F13" s="2">
        <v>1533500000</v>
      </c>
      <c r="G13" s="2">
        <v>1562000000</v>
      </c>
      <c r="H13" s="2">
        <v>1763800000</v>
      </c>
      <c r="I13" s="2">
        <v>1999900000</v>
      </c>
      <c r="J13" s="2">
        <v>1934800000</v>
      </c>
      <c r="K13" s="2">
        <v>1828000000</v>
      </c>
      <c r="L13" s="2">
        <v>2247500000</v>
      </c>
      <c r="M13" s="2">
        <v>2152000000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2:31" x14ac:dyDescent="0.2">
      <c r="B14" t="s">
        <v>1</v>
      </c>
      <c r="C14" s="2">
        <v>262889000</v>
      </c>
      <c r="D14" s="2">
        <v>364274000</v>
      </c>
      <c r="E14" s="2">
        <v>396062000</v>
      </c>
      <c r="F14" s="2">
        <v>419900000</v>
      </c>
      <c r="G14" s="2">
        <v>430200000</v>
      </c>
      <c r="H14" s="2">
        <v>461600000</v>
      </c>
      <c r="I14" s="2">
        <v>588700000</v>
      </c>
      <c r="J14" s="2">
        <v>686200000</v>
      </c>
      <c r="K14" s="2">
        <v>644800000</v>
      </c>
      <c r="L14" s="2">
        <v>649400000</v>
      </c>
      <c r="M14" s="2">
        <v>641300000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2:31" x14ac:dyDescent="0.2">
      <c r="B15" t="s">
        <v>2</v>
      </c>
      <c r="C15" s="2">
        <v>210249000</v>
      </c>
      <c r="D15" s="2">
        <v>273885000</v>
      </c>
      <c r="E15" s="2">
        <v>285920000</v>
      </c>
      <c r="F15" s="2">
        <v>337000000</v>
      </c>
      <c r="G15" s="2">
        <v>370000000</v>
      </c>
      <c r="H15" s="2">
        <v>428800000</v>
      </c>
      <c r="I15" s="2">
        <v>519800000</v>
      </c>
      <c r="J15" s="2">
        <v>643300000</v>
      </c>
      <c r="K15" s="2">
        <v>674900000</v>
      </c>
      <c r="L15" s="2">
        <v>762200000</v>
      </c>
      <c r="M15" s="2">
        <v>883000000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2:31" x14ac:dyDescent="0.2">
      <c r="B16" s="1" t="s">
        <v>7</v>
      </c>
      <c r="C16" s="3">
        <f>C13+C14+C15</f>
        <v>2040113000</v>
      </c>
      <c r="D16" s="3">
        <f t="shared" ref="D16:M16" si="6">D13+D14+D15</f>
        <v>2288124000</v>
      </c>
      <c r="E16" s="3">
        <f t="shared" si="6"/>
        <v>2395546000</v>
      </c>
      <c r="F16" s="3">
        <f t="shared" si="6"/>
        <v>2290400000</v>
      </c>
      <c r="G16" s="3">
        <f t="shared" si="6"/>
        <v>2362200000</v>
      </c>
      <c r="H16" s="3">
        <f t="shared" si="6"/>
        <v>2654200000</v>
      </c>
      <c r="I16" s="3">
        <f t="shared" si="6"/>
        <v>3108400000</v>
      </c>
      <c r="J16" s="3">
        <f t="shared" si="6"/>
        <v>3264300000</v>
      </c>
      <c r="K16" s="3">
        <f t="shared" si="6"/>
        <v>3147700000</v>
      </c>
      <c r="L16" s="3">
        <f t="shared" si="6"/>
        <v>3659100000</v>
      </c>
      <c r="M16" s="3">
        <f t="shared" si="6"/>
        <v>3676300000</v>
      </c>
      <c r="N16" s="3">
        <v>3800000000</v>
      </c>
      <c r="O16" s="3">
        <v>4000000000</v>
      </c>
      <c r="P16" s="3">
        <f>O16*P42+O16</f>
        <v>4200000000</v>
      </c>
      <c r="Q16" s="3">
        <f t="shared" ref="Q16:AE16" si="7">P16*Q42+P16</f>
        <v>4410000000</v>
      </c>
      <c r="R16" s="3">
        <f t="shared" si="7"/>
        <v>4630500000</v>
      </c>
      <c r="S16" s="3">
        <f t="shared" si="7"/>
        <v>4862025000</v>
      </c>
      <c r="T16" s="3">
        <f t="shared" si="7"/>
        <v>5105126250</v>
      </c>
      <c r="U16" s="3">
        <f t="shared" si="7"/>
        <v>5360382562.5</v>
      </c>
      <c r="V16" s="3">
        <f t="shared" si="7"/>
        <v>5628401690.625</v>
      </c>
      <c r="W16" s="3">
        <f t="shared" si="7"/>
        <v>5909821775.15625</v>
      </c>
      <c r="X16" s="3">
        <f t="shared" si="7"/>
        <v>6087116428.4109373</v>
      </c>
      <c r="Y16" s="3">
        <f t="shared" si="7"/>
        <v>6269729921.2632656</v>
      </c>
      <c r="Z16" s="3">
        <f t="shared" si="7"/>
        <v>6457821818.9011631</v>
      </c>
      <c r="AA16" s="3">
        <f t="shared" si="7"/>
        <v>6651556473.4681978</v>
      </c>
      <c r="AB16" s="3">
        <f t="shared" si="7"/>
        <v>6851103167.6722441</v>
      </c>
      <c r="AC16" s="3">
        <f t="shared" si="7"/>
        <v>7056636262.7024117</v>
      </c>
      <c r="AD16" s="3">
        <f t="shared" si="7"/>
        <v>7268335350.5834837</v>
      </c>
      <c r="AE16" s="3">
        <f t="shared" si="7"/>
        <v>7486385411.1009884</v>
      </c>
    </row>
    <row r="17" spans="2:31" x14ac:dyDescent="0.2">
      <c r="B17" t="s">
        <v>3</v>
      </c>
      <c r="C17" s="2">
        <v>767526000</v>
      </c>
      <c r="D17" s="2">
        <v>776597000</v>
      </c>
      <c r="E17" s="2">
        <v>788114000</v>
      </c>
      <c r="F17" s="2">
        <v>731100000</v>
      </c>
      <c r="G17" s="2">
        <v>760800000</v>
      </c>
      <c r="H17" s="2">
        <v>866500000</v>
      </c>
      <c r="I17" s="2">
        <v>938900000</v>
      </c>
      <c r="J17" s="2">
        <v>939400000</v>
      </c>
      <c r="K17" s="2">
        <v>855000000</v>
      </c>
      <c r="L17" s="2">
        <v>1090100000</v>
      </c>
      <c r="M17" s="2">
        <v>1046100000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2:31" x14ac:dyDescent="0.2">
      <c r="B18" t="s">
        <v>4</v>
      </c>
      <c r="C18" s="2">
        <v>100286000</v>
      </c>
      <c r="D18" s="2">
        <v>141904000</v>
      </c>
      <c r="E18" s="2">
        <v>152612000</v>
      </c>
      <c r="F18" s="2">
        <v>164200000</v>
      </c>
      <c r="G18" s="2">
        <v>169900000</v>
      </c>
      <c r="H18" s="2">
        <v>196300000</v>
      </c>
      <c r="I18" s="2">
        <v>247300000</v>
      </c>
      <c r="J18" s="2">
        <v>253900000</v>
      </c>
      <c r="K18" s="2">
        <v>234500000</v>
      </c>
      <c r="L18" s="2">
        <v>229900000</v>
      </c>
      <c r="M18" s="2">
        <v>235700000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2:31" x14ac:dyDescent="0.2">
      <c r="B19" t="s">
        <v>5</v>
      </c>
      <c r="C19" s="2">
        <v>65847000</v>
      </c>
      <c r="D19" s="2">
        <v>84682000</v>
      </c>
      <c r="E19" s="2">
        <v>81063000</v>
      </c>
      <c r="F19" s="2">
        <v>100300000</v>
      </c>
      <c r="G19" s="2">
        <v>104900000</v>
      </c>
      <c r="H19" s="2">
        <v>113000000</v>
      </c>
      <c r="I19" s="2">
        <v>138000000</v>
      </c>
      <c r="J19" s="2">
        <v>196000000</v>
      </c>
      <c r="K19" s="2">
        <v>211000000</v>
      </c>
      <c r="L19" s="2">
        <v>216700000</v>
      </c>
      <c r="M19" s="2">
        <v>203900000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2:31" x14ac:dyDescent="0.2">
      <c r="B20" t="s">
        <v>8</v>
      </c>
      <c r="C20" s="2">
        <v>60277000</v>
      </c>
      <c r="D20" s="2">
        <v>81119000</v>
      </c>
      <c r="E20" s="2">
        <v>82913000</v>
      </c>
      <c r="F20" s="2">
        <v>92600000</v>
      </c>
      <c r="G20" s="2">
        <v>88600000</v>
      </c>
      <c r="H20" s="2">
        <v>85800000</v>
      </c>
      <c r="I20" s="2">
        <v>103200000</v>
      </c>
      <c r="J20" s="2">
        <v>94100000</v>
      </c>
      <c r="K20" s="2">
        <v>92300000</v>
      </c>
      <c r="L20" s="2">
        <v>87700000</v>
      </c>
      <c r="M20" s="2">
        <v>85000000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2:31" x14ac:dyDescent="0.2">
      <c r="B21" s="1" t="s">
        <v>6</v>
      </c>
      <c r="C21" s="2">
        <f>C17+C18+C19+C20</f>
        <v>993936000</v>
      </c>
      <c r="D21" s="2">
        <f t="shared" ref="D21:M21" si="8">D17+D18+D19+D20</f>
        <v>1084302000</v>
      </c>
      <c r="E21" s="2">
        <f t="shared" si="8"/>
        <v>1104702000</v>
      </c>
      <c r="F21" s="2">
        <f t="shared" si="8"/>
        <v>1088200000</v>
      </c>
      <c r="G21" s="2">
        <f t="shared" si="8"/>
        <v>1124200000</v>
      </c>
      <c r="H21" s="2">
        <f t="shared" si="8"/>
        <v>1261600000</v>
      </c>
      <c r="I21" s="2">
        <f t="shared" si="8"/>
        <v>1427400000</v>
      </c>
      <c r="J21" s="2">
        <f t="shared" si="8"/>
        <v>1483400000</v>
      </c>
      <c r="K21" s="2">
        <f t="shared" si="8"/>
        <v>1392800000</v>
      </c>
      <c r="L21" s="2">
        <f t="shared" si="8"/>
        <v>1624400000</v>
      </c>
      <c r="M21" s="2">
        <f t="shared" si="8"/>
        <v>1570700000</v>
      </c>
      <c r="N21" s="2">
        <f>N16-N22</f>
        <v>1709999999.9999998</v>
      </c>
      <c r="O21" s="2">
        <f t="shared" ref="O21:AE21" si="9">O16-O22</f>
        <v>1800000000</v>
      </c>
      <c r="P21" s="2">
        <f t="shared" si="9"/>
        <v>1890000000</v>
      </c>
      <c r="Q21" s="2">
        <f t="shared" si="9"/>
        <v>1984500000</v>
      </c>
      <c r="R21" s="2">
        <f t="shared" si="9"/>
        <v>2083725000</v>
      </c>
      <c r="S21" s="2">
        <f t="shared" si="9"/>
        <v>2187911250</v>
      </c>
      <c r="T21" s="2">
        <f t="shared" si="9"/>
        <v>2297306812.5</v>
      </c>
      <c r="U21" s="2">
        <f t="shared" si="9"/>
        <v>2412172153.125</v>
      </c>
      <c r="V21" s="2">
        <f t="shared" si="9"/>
        <v>2251360676.25</v>
      </c>
      <c r="W21" s="2">
        <f t="shared" si="9"/>
        <v>2363928710.0625</v>
      </c>
      <c r="X21" s="2">
        <f t="shared" si="9"/>
        <v>2434846571.3643751</v>
      </c>
      <c r="Y21" s="2">
        <f t="shared" si="9"/>
        <v>2507891968.5053062</v>
      </c>
      <c r="Z21" s="2">
        <f t="shared" si="9"/>
        <v>2583128727.5604653</v>
      </c>
      <c r="AA21" s="2">
        <f t="shared" si="9"/>
        <v>2660622589.3872795</v>
      </c>
      <c r="AB21" s="2">
        <f t="shared" si="9"/>
        <v>2740441267.0688977</v>
      </c>
      <c r="AC21" s="2">
        <f t="shared" si="9"/>
        <v>2822654505.080965</v>
      </c>
      <c r="AD21" s="2">
        <f t="shared" si="9"/>
        <v>2907334140.2333937</v>
      </c>
      <c r="AE21" s="2">
        <f t="shared" si="9"/>
        <v>2994554164.4403954</v>
      </c>
    </row>
    <row r="22" spans="2:31" x14ac:dyDescent="0.2">
      <c r="B22" s="1" t="s">
        <v>9</v>
      </c>
      <c r="C22" s="3">
        <f>C16-C21</f>
        <v>1046177000</v>
      </c>
      <c r="D22" s="3">
        <f t="shared" ref="D22:M22" si="10">D16-D21</f>
        <v>1203822000</v>
      </c>
      <c r="E22" s="3">
        <f t="shared" si="10"/>
        <v>1290844000</v>
      </c>
      <c r="F22" s="3">
        <f t="shared" si="10"/>
        <v>1202200000</v>
      </c>
      <c r="G22" s="3">
        <f t="shared" si="10"/>
        <v>1238000000</v>
      </c>
      <c r="H22" s="3">
        <f t="shared" si="10"/>
        <v>1392600000</v>
      </c>
      <c r="I22" s="3">
        <f t="shared" si="10"/>
        <v>1681000000</v>
      </c>
      <c r="J22" s="3">
        <f t="shared" si="10"/>
        <v>1780900000</v>
      </c>
      <c r="K22" s="3">
        <f t="shared" si="10"/>
        <v>1754900000</v>
      </c>
      <c r="L22" s="3">
        <f t="shared" si="10"/>
        <v>2034700000</v>
      </c>
      <c r="M22" s="3">
        <f t="shared" si="10"/>
        <v>2105600000</v>
      </c>
      <c r="N22" s="3">
        <f>N16*N43</f>
        <v>2090000000.0000002</v>
      </c>
      <c r="O22" s="3">
        <f t="shared" ref="O22:AE22" si="11">O16*O43</f>
        <v>2200000000</v>
      </c>
      <c r="P22" s="3">
        <f t="shared" si="11"/>
        <v>2310000000</v>
      </c>
      <c r="Q22" s="3">
        <f t="shared" si="11"/>
        <v>2425500000</v>
      </c>
      <c r="R22" s="3">
        <f t="shared" si="11"/>
        <v>2546775000</v>
      </c>
      <c r="S22" s="3">
        <f t="shared" si="11"/>
        <v>2674113750</v>
      </c>
      <c r="T22" s="3">
        <f t="shared" si="11"/>
        <v>2807819437.5</v>
      </c>
      <c r="U22" s="3">
        <f t="shared" si="11"/>
        <v>2948210409.375</v>
      </c>
      <c r="V22" s="3">
        <f t="shared" si="11"/>
        <v>3377041014.375</v>
      </c>
      <c r="W22" s="3">
        <f t="shared" si="11"/>
        <v>3545893065.09375</v>
      </c>
      <c r="X22" s="3">
        <f t="shared" si="11"/>
        <v>3652269857.0465622</v>
      </c>
      <c r="Y22" s="3">
        <f t="shared" si="11"/>
        <v>3761837952.7579594</v>
      </c>
      <c r="Z22" s="3">
        <f t="shared" si="11"/>
        <v>3874693091.3406978</v>
      </c>
      <c r="AA22" s="3">
        <f t="shared" si="11"/>
        <v>3990933884.0809183</v>
      </c>
      <c r="AB22" s="3">
        <f t="shared" si="11"/>
        <v>4110661900.6033463</v>
      </c>
      <c r="AC22" s="3">
        <f t="shared" si="11"/>
        <v>4233981757.6214466</v>
      </c>
      <c r="AD22" s="3">
        <f t="shared" si="11"/>
        <v>4361001210.35009</v>
      </c>
      <c r="AE22" s="3">
        <f t="shared" si="11"/>
        <v>4491831246.660593</v>
      </c>
    </row>
    <row r="23" spans="2:31" x14ac:dyDescent="0.2">
      <c r="B23" t="s">
        <v>10</v>
      </c>
      <c r="C23" s="2">
        <v>256458000</v>
      </c>
      <c r="D23" s="2">
        <v>299421000</v>
      </c>
      <c r="E23" s="2">
        <v>317992000</v>
      </c>
      <c r="F23" s="2">
        <v>336700000</v>
      </c>
      <c r="G23" s="2">
        <v>349600000</v>
      </c>
      <c r="H23" s="2">
        <v>370200000</v>
      </c>
      <c r="I23" s="2">
        <v>446100000</v>
      </c>
      <c r="J23" s="2">
        <v>469700000</v>
      </c>
      <c r="K23" s="2">
        <v>475900000</v>
      </c>
      <c r="L23" s="2">
        <v>536600000</v>
      </c>
      <c r="M23" s="2">
        <v>542100000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2:31" x14ac:dyDescent="0.2">
      <c r="B24" t="s">
        <v>11</v>
      </c>
      <c r="C24" s="2">
        <v>313692000</v>
      </c>
      <c r="D24" s="2">
        <v>348106000</v>
      </c>
      <c r="E24" s="2">
        <v>387569000</v>
      </c>
      <c r="F24" s="2">
        <v>374600000</v>
      </c>
      <c r="G24" s="2">
        <v>377600000</v>
      </c>
      <c r="H24" s="2">
        <v>404200000</v>
      </c>
      <c r="I24" s="2">
        <v>479800000</v>
      </c>
      <c r="J24" s="2">
        <v>504200000</v>
      </c>
      <c r="K24" s="2">
        <v>467000000</v>
      </c>
      <c r="L24" s="2">
        <v>506800000</v>
      </c>
      <c r="M24" s="2">
        <v>553600000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2:31" x14ac:dyDescent="0.2">
      <c r="B25" t="s">
        <v>12</v>
      </c>
      <c r="C25" s="2">
        <v>195802000</v>
      </c>
      <c r="D25" s="2">
        <v>216876000</v>
      </c>
      <c r="E25" s="2">
        <v>247120000</v>
      </c>
      <c r="F25" s="2">
        <v>255300000</v>
      </c>
      <c r="G25" s="2">
        <v>256000000</v>
      </c>
      <c r="H25" s="2">
        <v>302300000</v>
      </c>
      <c r="I25" s="2">
        <v>349800000</v>
      </c>
      <c r="J25" s="2">
        <v>330600000</v>
      </c>
      <c r="K25" s="2">
        <v>300900000</v>
      </c>
      <c r="L25" s="2">
        <v>369100000</v>
      </c>
      <c r="M25" s="2">
        <v>422200000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2:31" x14ac:dyDescent="0.2">
      <c r="B26" t="s">
        <v>13</v>
      </c>
      <c r="C26" s="2">
        <v>2227000</v>
      </c>
      <c r="D26" s="2">
        <v>5960000</v>
      </c>
      <c r="E26" s="2">
        <v>1741000</v>
      </c>
      <c r="F26" s="2">
        <v>11400000</v>
      </c>
      <c r="G26" s="2">
        <v>11600000</v>
      </c>
      <c r="H26" s="2">
        <v>6900000</v>
      </c>
      <c r="I26" s="2">
        <v>8200000</v>
      </c>
      <c r="J26" s="2">
        <v>26800000</v>
      </c>
      <c r="K26" s="2">
        <v>25800000</v>
      </c>
      <c r="L26" s="2">
        <v>10300000</v>
      </c>
      <c r="M26" s="2">
        <v>30200000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2:31" x14ac:dyDescent="0.2">
      <c r="B27" t="s">
        <v>14</v>
      </c>
      <c r="C27" s="2">
        <v>65430000</v>
      </c>
      <c r="D27" s="2">
        <v>81722000</v>
      </c>
      <c r="E27" s="2">
        <v>75599000</v>
      </c>
      <c r="F27" s="2">
        <v>69800000</v>
      </c>
      <c r="G27" s="2">
        <v>62200000</v>
      </c>
      <c r="H27" s="2">
        <v>63000000</v>
      </c>
      <c r="I27" s="2">
        <v>76400000</v>
      </c>
      <c r="J27" s="2">
        <v>73700000</v>
      </c>
      <c r="K27" s="2">
        <v>65500000</v>
      </c>
      <c r="L27" s="2">
        <v>50900000</v>
      </c>
      <c r="M27" s="2">
        <v>46600000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2:31" x14ac:dyDescent="0.2">
      <c r="B28" s="1" t="s">
        <v>15</v>
      </c>
      <c r="C28" s="2">
        <f>C23+C24+C25+C26+C27</f>
        <v>833609000</v>
      </c>
      <c r="D28" s="2">
        <f t="shared" ref="D28:M28" si="12">D23+D24+D25+D26+D27</f>
        <v>952085000</v>
      </c>
      <c r="E28" s="2">
        <f t="shared" si="12"/>
        <v>1030021000</v>
      </c>
      <c r="F28" s="2">
        <f t="shared" si="12"/>
        <v>1047800000</v>
      </c>
      <c r="G28" s="2">
        <f t="shared" si="12"/>
        <v>1057000000</v>
      </c>
      <c r="H28" s="2">
        <f t="shared" si="12"/>
        <v>1146600000</v>
      </c>
      <c r="I28" s="2">
        <f t="shared" si="12"/>
        <v>1360300000</v>
      </c>
      <c r="J28" s="2">
        <f t="shared" si="12"/>
        <v>1405000000</v>
      </c>
      <c r="K28" s="2">
        <f t="shared" si="12"/>
        <v>1335100000</v>
      </c>
      <c r="L28" s="2">
        <f t="shared" si="12"/>
        <v>1473700000</v>
      </c>
      <c r="M28" s="2">
        <f t="shared" si="12"/>
        <v>1594700000</v>
      </c>
      <c r="N28" s="2">
        <f>M28*N46+M28</f>
        <v>1626594000</v>
      </c>
      <c r="O28" s="2">
        <f t="shared" ref="O28:AE28" si="13">N28*O46+N28</f>
        <v>1659125880</v>
      </c>
      <c r="P28" s="2">
        <f>O28*P46+O28</f>
        <v>1692308397.5999999</v>
      </c>
      <c r="Q28" s="2">
        <f>P28*Q46+P28</f>
        <v>1726154565.5519998</v>
      </c>
      <c r="R28" s="2">
        <f>Q28*R46+Q28</f>
        <v>1760677656.8630397</v>
      </c>
      <c r="S28" s="2">
        <f>R28*S46+R28</f>
        <v>1795891210.0003004</v>
      </c>
      <c r="T28" s="2">
        <f>S28*T46+S28</f>
        <v>1831809034.2003064</v>
      </c>
      <c r="U28" s="2">
        <f>T28*U46+T28</f>
        <v>1868445214.8843126</v>
      </c>
      <c r="V28" s="2">
        <f>U28*V46+U28</f>
        <v>1905814119.181999</v>
      </c>
      <c r="W28" s="2">
        <f>V28*W46+V28</f>
        <v>1943930401.565639</v>
      </c>
      <c r="X28" s="2">
        <f>W28*X46+W28</f>
        <v>1982809009.5969517</v>
      </c>
      <c r="Y28" s="2">
        <f>X28*Y46+X28</f>
        <v>2022465189.7888908</v>
      </c>
      <c r="Z28" s="2">
        <f>Y28*Z46+Y28</f>
        <v>2062914493.5846686</v>
      </c>
      <c r="AA28" s="2">
        <f>Z28*AA46+Z28</f>
        <v>2104172783.456362</v>
      </c>
      <c r="AB28" s="2">
        <f>AA28*AB46+AA28</f>
        <v>2146256239.1254892</v>
      </c>
      <c r="AC28" s="2">
        <f>AB28*AC46+AB28</f>
        <v>2189181363.907999</v>
      </c>
      <c r="AD28" s="2">
        <f>AC28*AD46+AC28</f>
        <v>2232964991.1861591</v>
      </c>
      <c r="AE28" s="2">
        <f>AD28*AE46+AD28</f>
        <v>2277624291.0098825</v>
      </c>
    </row>
    <row r="29" spans="2:31" x14ac:dyDescent="0.2">
      <c r="B29" s="1" t="s">
        <v>16</v>
      </c>
      <c r="C29" s="3">
        <f>C22-C28</f>
        <v>212568000</v>
      </c>
      <c r="D29" s="3">
        <f t="shared" ref="D29:M29" si="14">D22-D28</f>
        <v>251737000</v>
      </c>
      <c r="E29" s="3">
        <f t="shared" si="14"/>
        <v>260823000</v>
      </c>
      <c r="F29" s="3">
        <f t="shared" si="14"/>
        <v>154400000</v>
      </c>
      <c r="G29" s="3">
        <f t="shared" si="14"/>
        <v>181000000</v>
      </c>
      <c r="H29" s="3">
        <f t="shared" si="14"/>
        <v>246000000</v>
      </c>
      <c r="I29" s="3">
        <f t="shared" si="14"/>
        <v>320700000</v>
      </c>
      <c r="J29" s="3">
        <f t="shared" si="14"/>
        <v>375900000</v>
      </c>
      <c r="K29" s="3">
        <f t="shared" si="14"/>
        <v>419800000</v>
      </c>
      <c r="L29" s="3">
        <f t="shared" si="14"/>
        <v>561000000</v>
      </c>
      <c r="M29" s="3">
        <f t="shared" si="14"/>
        <v>510900000</v>
      </c>
      <c r="N29" s="3">
        <f>N22-N28</f>
        <v>463406000.00000024</v>
      </c>
      <c r="O29" s="3">
        <f t="shared" ref="O29:AE29" si="15">O22-O28</f>
        <v>540874120</v>
      </c>
      <c r="P29" s="3">
        <f>P22-P28</f>
        <v>617691602.4000001</v>
      </c>
      <c r="Q29" s="3">
        <f>Q22-Q28</f>
        <v>699345434.44800019</v>
      </c>
      <c r="R29" s="3">
        <f>R22-R28</f>
        <v>786097343.13696027</v>
      </c>
      <c r="S29" s="3">
        <f>S22-S28</f>
        <v>878222539.99969959</v>
      </c>
      <c r="T29" s="3">
        <f>T22-T28</f>
        <v>976010403.29969358</v>
      </c>
      <c r="U29" s="3">
        <f>U22-U28</f>
        <v>1079765194.4906874</v>
      </c>
      <c r="V29" s="3">
        <f>V22-V28</f>
        <v>1471226895.193001</v>
      </c>
      <c r="W29" s="3">
        <f>W22-W28</f>
        <v>1601962663.528111</v>
      </c>
      <c r="X29" s="3">
        <f>X22-X28</f>
        <v>1669460847.4496105</v>
      </c>
      <c r="Y29" s="3">
        <f>Y22-Y28</f>
        <v>1739372762.9690685</v>
      </c>
      <c r="Z29" s="3">
        <f>Z22-Z28</f>
        <v>1811778597.7560291</v>
      </c>
      <c r="AA29" s="3">
        <f>AA22-AA28</f>
        <v>1886761100.6245563</v>
      </c>
      <c r="AB29" s="3">
        <f>AB22-AB28</f>
        <v>1964405661.4778571</v>
      </c>
      <c r="AC29" s="3">
        <f>AC22-AC28</f>
        <v>2044800393.7134476</v>
      </c>
      <c r="AD29" s="3">
        <f>AD22-AD28</f>
        <v>2128036219.1639309</v>
      </c>
      <c r="AE29" s="3">
        <f>AE22-AE28</f>
        <v>2214206955.6507106</v>
      </c>
    </row>
    <row r="30" spans="2:31" x14ac:dyDescent="0.2">
      <c r="B30" t="s">
        <v>17</v>
      </c>
      <c r="C30" s="2">
        <v>-16357000</v>
      </c>
      <c r="D30" s="2">
        <v>-17582000</v>
      </c>
      <c r="E30" s="2">
        <v>-18681000</v>
      </c>
      <c r="F30" s="2">
        <v>-25600000</v>
      </c>
      <c r="G30" s="2">
        <v>-25900000</v>
      </c>
      <c r="H30" s="2">
        <v>-25000000</v>
      </c>
      <c r="I30" s="2">
        <v>-73200000</v>
      </c>
      <c r="J30" s="2">
        <v>-82400000</v>
      </c>
      <c r="K30" s="2">
        <v>-77600000</v>
      </c>
      <c r="L30" s="2">
        <v>-65400000</v>
      </c>
      <c r="M30" s="2">
        <v>-71100000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2:31" x14ac:dyDescent="0.2">
      <c r="B31" t="s">
        <v>18</v>
      </c>
      <c r="C31" s="2">
        <v>-2526000</v>
      </c>
      <c r="D31" s="2">
        <v>-954000</v>
      </c>
      <c r="E31" s="2">
        <v>-5084000</v>
      </c>
      <c r="F31" s="2">
        <v>200000</v>
      </c>
      <c r="G31" s="2">
        <v>-1900000</v>
      </c>
      <c r="H31" s="2">
        <v>3300000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2:31" x14ac:dyDescent="0.2">
      <c r="B32" t="s">
        <v>19</v>
      </c>
      <c r="C32" s="2">
        <v>24727000</v>
      </c>
      <c r="D32" s="2">
        <v>20680000</v>
      </c>
      <c r="E32" s="2">
        <v>12368000</v>
      </c>
      <c r="F32" s="2">
        <v>17900000</v>
      </c>
      <c r="G32" s="2">
        <v>17600000</v>
      </c>
      <c r="H32" s="2">
        <v>29500000</v>
      </c>
      <c r="I32" s="2">
        <v>28700000</v>
      </c>
      <c r="J32" s="2">
        <v>35800000</v>
      </c>
      <c r="K32" s="2">
        <v>39400000</v>
      </c>
      <c r="L32" s="2">
        <v>37700000</v>
      </c>
      <c r="M32" s="2">
        <v>31100000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2:56" x14ac:dyDescent="0.2">
      <c r="B33" t="s">
        <v>20</v>
      </c>
      <c r="C33" s="2">
        <v>11012000</v>
      </c>
      <c r="D33" s="2">
        <v>-1017000</v>
      </c>
      <c r="E33" s="2">
        <v>16589000</v>
      </c>
      <c r="F33" s="2">
        <v>4900000</v>
      </c>
      <c r="G33" s="2">
        <v>5900000</v>
      </c>
      <c r="H33" s="2">
        <v>5300000</v>
      </c>
      <c r="I33" s="2">
        <v>1800000</v>
      </c>
      <c r="J33" s="2">
        <v>15500000</v>
      </c>
      <c r="K33" s="2">
        <v>13400000</v>
      </c>
      <c r="L33" s="2">
        <v>-100000</v>
      </c>
      <c r="M33" s="2">
        <v>-800000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2:56" x14ac:dyDescent="0.2">
      <c r="B34" t="s">
        <v>64</v>
      </c>
      <c r="C34" s="2"/>
      <c r="D34" s="2"/>
      <c r="E34" s="2"/>
      <c r="F34" s="2"/>
      <c r="G34" s="2"/>
      <c r="H34" s="2"/>
      <c r="I34" s="2"/>
      <c r="J34" s="2"/>
      <c r="K34" s="2"/>
      <c r="L34" s="2">
        <v>41400000</v>
      </c>
      <c r="M34" s="2">
        <v>99000000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2:56" x14ac:dyDescent="0.2">
      <c r="B35" t="s">
        <v>21</v>
      </c>
      <c r="C35" s="2">
        <f>C30+C31+C32+C33</f>
        <v>16856000</v>
      </c>
      <c r="D35" s="2">
        <f t="shared" ref="D35:K35" si="16">D30+D31+D32+D33</f>
        <v>1127000</v>
      </c>
      <c r="E35" s="2">
        <f t="shared" si="16"/>
        <v>5192000</v>
      </c>
      <c r="F35" s="2">
        <f t="shared" si="16"/>
        <v>-2600000</v>
      </c>
      <c r="G35" s="2">
        <f t="shared" si="16"/>
        <v>-4300000</v>
      </c>
      <c r="H35" s="2">
        <f t="shared" si="16"/>
        <v>13100000</v>
      </c>
      <c r="I35" s="2">
        <f t="shared" si="16"/>
        <v>-42700000</v>
      </c>
      <c r="J35" s="2">
        <f t="shared" si="16"/>
        <v>-31100000</v>
      </c>
      <c r="K35" s="2">
        <f t="shared" si="16"/>
        <v>-24800000</v>
      </c>
      <c r="L35" s="2">
        <f>L30+L31+L32+L33+L34</f>
        <v>13600000</v>
      </c>
      <c r="M35" s="2">
        <f t="shared" ref="M35" si="17">M30+M31+M32+M33+M34</f>
        <v>58200000</v>
      </c>
      <c r="N35" s="2">
        <v>10000000</v>
      </c>
      <c r="O35" s="2">
        <v>10000000</v>
      </c>
      <c r="P35" s="2">
        <v>10000000</v>
      </c>
      <c r="Q35" s="2">
        <v>10000000</v>
      </c>
      <c r="R35" s="2">
        <v>10000000</v>
      </c>
      <c r="S35" s="2">
        <v>10000000</v>
      </c>
      <c r="T35" s="2">
        <v>10000000</v>
      </c>
      <c r="U35" s="2">
        <v>10000000</v>
      </c>
      <c r="V35" s="2">
        <v>10000000</v>
      </c>
      <c r="W35" s="2">
        <v>10000000</v>
      </c>
      <c r="X35" s="2">
        <v>10000000</v>
      </c>
      <c r="Y35" s="2">
        <v>10000000</v>
      </c>
      <c r="Z35" s="2">
        <v>10000000</v>
      </c>
      <c r="AA35" s="2">
        <v>10000000</v>
      </c>
      <c r="AB35" s="2">
        <v>10000000</v>
      </c>
      <c r="AC35" s="2">
        <v>10000000</v>
      </c>
      <c r="AD35" s="2">
        <v>10000000</v>
      </c>
      <c r="AE35" s="2">
        <v>10000000</v>
      </c>
    </row>
    <row r="36" spans="2:56" x14ac:dyDescent="0.2">
      <c r="B36" t="s">
        <v>22</v>
      </c>
      <c r="C36" s="2">
        <f>C29+C35</f>
        <v>229424000</v>
      </c>
      <c r="D36" s="2">
        <f t="shared" ref="D36:M36" si="18">D29+D35</f>
        <v>252864000</v>
      </c>
      <c r="E36" s="2">
        <f t="shared" si="18"/>
        <v>266015000</v>
      </c>
      <c r="F36" s="2">
        <f t="shared" si="18"/>
        <v>151800000</v>
      </c>
      <c r="G36" s="2">
        <f t="shared" si="18"/>
        <v>176700000</v>
      </c>
      <c r="H36" s="2">
        <f t="shared" si="18"/>
        <v>259100000</v>
      </c>
      <c r="I36" s="2">
        <f t="shared" si="18"/>
        <v>278000000</v>
      </c>
      <c r="J36" s="2">
        <f t="shared" si="18"/>
        <v>344800000</v>
      </c>
      <c r="K36" s="2">
        <f t="shared" si="18"/>
        <v>395000000</v>
      </c>
      <c r="L36" s="2">
        <f t="shared" si="18"/>
        <v>574600000</v>
      </c>
      <c r="M36" s="2">
        <f t="shared" si="18"/>
        <v>569100000</v>
      </c>
      <c r="N36" s="2">
        <f>N29+N35</f>
        <v>473406000.00000024</v>
      </c>
      <c r="O36" s="2">
        <f t="shared" ref="O36:AE36" si="19">O29+O35</f>
        <v>550874120</v>
      </c>
      <c r="P36" s="2">
        <f t="shared" si="19"/>
        <v>627691602.4000001</v>
      </c>
      <c r="Q36" s="2">
        <f t="shared" si="19"/>
        <v>709345434.44800019</v>
      </c>
      <c r="R36" s="2">
        <f t="shared" si="19"/>
        <v>796097343.13696027</v>
      </c>
      <c r="S36" s="2">
        <f t="shared" si="19"/>
        <v>888222539.99969959</v>
      </c>
      <c r="T36" s="2">
        <f t="shared" si="19"/>
        <v>986010403.29969358</v>
      </c>
      <c r="U36" s="2">
        <f t="shared" si="19"/>
        <v>1089765194.4906874</v>
      </c>
      <c r="V36" s="2">
        <f t="shared" si="19"/>
        <v>1481226895.193001</v>
      </c>
      <c r="W36" s="2">
        <f t="shared" si="19"/>
        <v>1611962663.528111</v>
      </c>
      <c r="X36" s="2">
        <f t="shared" si="19"/>
        <v>1679460847.4496105</v>
      </c>
      <c r="Y36" s="2">
        <f t="shared" si="19"/>
        <v>1749372762.9690685</v>
      </c>
      <c r="Z36" s="2">
        <f t="shared" si="19"/>
        <v>1821778597.7560291</v>
      </c>
      <c r="AA36" s="2">
        <f t="shared" si="19"/>
        <v>1896761100.6245563</v>
      </c>
      <c r="AB36" s="2">
        <f t="shared" si="19"/>
        <v>1974405661.4778571</v>
      </c>
      <c r="AC36" s="2">
        <f t="shared" si="19"/>
        <v>2054800393.7134476</v>
      </c>
      <c r="AD36" s="2">
        <f t="shared" si="19"/>
        <v>2138036219.1639309</v>
      </c>
      <c r="AE36" s="2">
        <f t="shared" si="19"/>
        <v>2224206955.6507106</v>
      </c>
    </row>
    <row r="37" spans="2:56" x14ac:dyDescent="0.2">
      <c r="B37" t="s">
        <v>23</v>
      </c>
      <c r="C37" s="2">
        <v>-39708000</v>
      </c>
      <c r="D37" s="2">
        <v>-34698000</v>
      </c>
      <c r="E37" s="2">
        <v>-52127000</v>
      </c>
      <c r="F37" s="2">
        <v>-31100000</v>
      </c>
      <c r="G37" s="2">
        <v>-44500000</v>
      </c>
      <c r="H37" s="2">
        <v>-137900000</v>
      </c>
      <c r="I37" s="2">
        <v>5300000</v>
      </c>
      <c r="J37" s="2">
        <v>169700000</v>
      </c>
      <c r="K37" s="2">
        <v>-4400000</v>
      </c>
      <c r="L37" s="2">
        <v>-81800000</v>
      </c>
      <c r="M37" s="2">
        <v>-119400000</v>
      </c>
      <c r="N37" s="2">
        <f>-(N36*N44)</f>
        <v>-94681200.00000006</v>
      </c>
      <c r="O37" s="2">
        <f t="shared" ref="O37:AE37" si="20">-(O36*O44)</f>
        <v>-110174824</v>
      </c>
      <c r="P37" s="2">
        <f t="shared" si="20"/>
        <v>-125538320.48000002</v>
      </c>
      <c r="Q37" s="2">
        <f t="shared" si="20"/>
        <v>-141869086.88960004</v>
      </c>
      <c r="R37" s="2">
        <f t="shared" si="20"/>
        <v>-159219468.62739205</v>
      </c>
      <c r="S37" s="2">
        <f t="shared" si="20"/>
        <v>-177644507.99993992</v>
      </c>
      <c r="T37" s="2">
        <f t="shared" si="20"/>
        <v>-197202080.65993872</v>
      </c>
      <c r="U37" s="2">
        <f t="shared" si="20"/>
        <v>-217953038.89813748</v>
      </c>
      <c r="V37" s="2">
        <f t="shared" si="20"/>
        <v>-296245379.03860021</v>
      </c>
      <c r="W37" s="2">
        <f t="shared" si="20"/>
        <v>-322392532.7056222</v>
      </c>
      <c r="X37" s="2">
        <f t="shared" si="20"/>
        <v>-335892169.48992211</v>
      </c>
      <c r="Y37" s="2">
        <f t="shared" si="20"/>
        <v>-349874552.59381372</v>
      </c>
      <c r="Z37" s="2">
        <f t="shared" si="20"/>
        <v>-364355719.55120587</v>
      </c>
      <c r="AA37" s="2">
        <f t="shared" si="20"/>
        <v>-379352220.12491131</v>
      </c>
      <c r="AB37" s="2">
        <f t="shared" si="20"/>
        <v>-394881132.29557145</v>
      </c>
      <c r="AC37" s="2">
        <f t="shared" si="20"/>
        <v>-410960078.74268955</v>
      </c>
      <c r="AD37" s="2">
        <f t="shared" si="20"/>
        <v>-427607243.8327862</v>
      </c>
      <c r="AE37" s="2">
        <f t="shared" si="20"/>
        <v>-444841391.13014215</v>
      </c>
    </row>
    <row r="38" spans="2:56" x14ac:dyDescent="0.2">
      <c r="B38" s="4" t="s">
        <v>24</v>
      </c>
      <c r="C38" s="5">
        <f>C36+C37</f>
        <v>189716000</v>
      </c>
      <c r="D38" s="5">
        <f t="shared" ref="D38:M38" si="21">D36+D37</f>
        <v>218166000</v>
      </c>
      <c r="E38" s="5">
        <f t="shared" si="21"/>
        <v>213888000</v>
      </c>
      <c r="F38" s="5">
        <f t="shared" si="21"/>
        <v>120700000</v>
      </c>
      <c r="G38" s="5">
        <f t="shared" si="21"/>
        <v>132200000</v>
      </c>
      <c r="H38" s="5">
        <f t="shared" si="21"/>
        <v>121200000</v>
      </c>
      <c r="I38" s="5">
        <f t="shared" si="21"/>
        <v>283300000</v>
      </c>
      <c r="J38" s="5">
        <f t="shared" si="21"/>
        <v>514500000</v>
      </c>
      <c r="K38" s="5">
        <f t="shared" si="21"/>
        <v>390600000</v>
      </c>
      <c r="L38" s="5">
        <f t="shared" si="21"/>
        <v>492800000</v>
      </c>
      <c r="M38" s="5">
        <f t="shared" si="21"/>
        <v>449700000</v>
      </c>
      <c r="N38" s="5">
        <f>N36+N37</f>
        <v>378724800.00000018</v>
      </c>
      <c r="O38" s="5">
        <f t="shared" ref="O38:AE38" si="22">O36+O37</f>
        <v>440699296</v>
      </c>
      <c r="P38" s="5">
        <f t="shared" si="22"/>
        <v>502153281.92000008</v>
      </c>
      <c r="Q38" s="5">
        <f t="shared" si="22"/>
        <v>567476347.55840015</v>
      </c>
      <c r="R38" s="5">
        <f t="shared" si="22"/>
        <v>636877874.50956821</v>
      </c>
      <c r="S38" s="5">
        <f t="shared" si="22"/>
        <v>710578031.99975967</v>
      </c>
      <c r="T38" s="5">
        <f t="shared" si="22"/>
        <v>788808322.63975489</v>
      </c>
      <c r="U38" s="5">
        <f t="shared" si="22"/>
        <v>871812155.59254992</v>
      </c>
      <c r="V38" s="5">
        <f t="shared" si="22"/>
        <v>1184981516.1544008</v>
      </c>
      <c r="W38" s="5">
        <f t="shared" si="22"/>
        <v>1289570130.8224888</v>
      </c>
      <c r="X38" s="5">
        <f t="shared" si="22"/>
        <v>1343568677.9596884</v>
      </c>
      <c r="Y38" s="5">
        <f t="shared" si="22"/>
        <v>1399498210.3752549</v>
      </c>
      <c r="Z38" s="5">
        <f t="shared" si="22"/>
        <v>1457422878.2048233</v>
      </c>
      <c r="AA38" s="5">
        <f t="shared" si="22"/>
        <v>1517408880.499645</v>
      </c>
      <c r="AB38" s="5">
        <f t="shared" si="22"/>
        <v>1579524529.1822858</v>
      </c>
      <c r="AC38" s="5">
        <f t="shared" si="22"/>
        <v>1643840314.970758</v>
      </c>
      <c r="AD38" s="5">
        <f t="shared" si="22"/>
        <v>1710428975.3311448</v>
      </c>
      <c r="AE38" s="5">
        <f t="shared" si="22"/>
        <v>1779365564.5205684</v>
      </c>
      <c r="AF38" s="21">
        <f>AE38*I49+AE38</f>
        <v>1761571908.8753626</v>
      </c>
      <c r="AG38" s="21">
        <f>AF38*I49+AF38</f>
        <v>1743956189.7866089</v>
      </c>
      <c r="AH38" s="21">
        <f>AG38*I49+AG38</f>
        <v>1726516627.8887429</v>
      </c>
      <c r="AI38" s="21">
        <f>AH38*I49+AH38</f>
        <v>1709251461.6098554</v>
      </c>
      <c r="AJ38" s="21">
        <f>AI38*I49+AI38</f>
        <v>1692158946.9937568</v>
      </c>
      <c r="AK38" s="21">
        <f>AJ38*I49+AJ38</f>
        <v>1675237357.5238192</v>
      </c>
      <c r="AL38" s="21">
        <f>AK38*I49+AK38</f>
        <v>1658484983.948581</v>
      </c>
      <c r="AM38" s="21">
        <f>AL38*I49+AL38</f>
        <v>1641900134.1090951</v>
      </c>
      <c r="AN38" s="21">
        <f>AM38*I49+AM38</f>
        <v>1625481132.7680042</v>
      </c>
      <c r="AO38" s="21">
        <f>AN38*I49+AN38</f>
        <v>1609226321.4403241</v>
      </c>
      <c r="AP38" s="21">
        <f>AO38*I49+AO38</f>
        <v>1593134058.2259209</v>
      </c>
      <c r="AQ38" s="21">
        <f>AP38*I49+AP38</f>
        <v>1577202717.6436617</v>
      </c>
      <c r="AR38" s="21">
        <f>AQ38*I49+AQ38</f>
        <v>1561430690.4672251</v>
      </c>
      <c r="AS38" s="21">
        <f>AR38*I49+AR38</f>
        <v>1545816383.5625529</v>
      </c>
      <c r="AT38" s="21">
        <f>AS38*I49+AS38</f>
        <v>1530358219.7269273</v>
      </c>
      <c r="AU38" s="21">
        <f>AT38*I49+AT38</f>
        <v>1515054637.5296581</v>
      </c>
      <c r="AV38" s="21">
        <f>AU38*I49+AU38</f>
        <v>1499904091.1543615</v>
      </c>
      <c r="AW38" s="21">
        <f>AV38*I49+AV38</f>
        <v>1484905050.2428179</v>
      </c>
      <c r="AX38" s="21">
        <f>AW38*I49+AW38</f>
        <v>1470055999.7403896</v>
      </c>
      <c r="AY38" s="21">
        <f>AX38*I49+AX38</f>
        <v>1455355439.7429857</v>
      </c>
      <c r="AZ38" s="21">
        <f>AY38*I49+AY38</f>
        <v>1440801885.3455558</v>
      </c>
      <c r="BA38" s="21">
        <f>AZ38*I49+AZ38</f>
        <v>1426393866.4921002</v>
      </c>
      <c r="BB38" s="21">
        <f>BA38*I49+BA38</f>
        <v>1412129927.8271792</v>
      </c>
      <c r="BC38" s="21">
        <f>BB38*I49+BB38</f>
        <v>1398008628.5489075</v>
      </c>
      <c r="BD38" s="21">
        <f>BC38*I49+BC38</f>
        <v>1384028542.2634184</v>
      </c>
    </row>
    <row r="39" spans="2:56" x14ac:dyDescent="0.2">
      <c r="B39" t="s">
        <v>57</v>
      </c>
      <c r="K39" s="2">
        <f>K38/K40</f>
        <v>1.5592814371257484</v>
      </c>
      <c r="L39" s="2">
        <f t="shared" ref="L39:AE39" si="23">L38/L40</f>
        <v>1.9602227525855211</v>
      </c>
      <c r="M39" s="2">
        <f t="shared" si="23"/>
        <v>1.8089300080450523</v>
      </c>
      <c r="N39" s="2">
        <f t="shared" si="23"/>
        <v>1.5332987854251019</v>
      </c>
      <c r="O39" s="2">
        <f t="shared" si="23"/>
        <v>1.7842076761133603</v>
      </c>
      <c r="P39" s="2">
        <f t="shared" si="23"/>
        <v>2.0330092385425105</v>
      </c>
      <c r="Q39" s="2">
        <f t="shared" si="23"/>
        <v>2.2974750913295554</v>
      </c>
      <c r="R39" s="2">
        <f t="shared" si="23"/>
        <v>2.5784529332371182</v>
      </c>
      <c r="S39" s="2">
        <f t="shared" si="23"/>
        <v>2.8768341376508491</v>
      </c>
      <c r="T39" s="2">
        <f t="shared" si="23"/>
        <v>3.1935559621042708</v>
      </c>
      <c r="U39" s="2">
        <f t="shared" si="23"/>
        <v>3.5296038687957485</v>
      </c>
      <c r="V39" s="2">
        <f t="shared" si="23"/>
        <v>4.7974960168194363</v>
      </c>
      <c r="W39" s="2">
        <f t="shared" si="23"/>
        <v>5.220931703734772</v>
      </c>
      <c r="X39" s="2">
        <f t="shared" si="23"/>
        <v>5.4395493034805202</v>
      </c>
      <c r="Y39" s="2">
        <f t="shared" si="23"/>
        <v>5.6659846573896955</v>
      </c>
      <c r="Z39" s="2">
        <f t="shared" si="23"/>
        <v>5.9004974826106205</v>
      </c>
      <c r="AA39" s="2">
        <f t="shared" si="23"/>
        <v>6.1433557914965382</v>
      </c>
      <c r="AB39" s="2">
        <f t="shared" si="23"/>
        <v>6.3948361505355704</v>
      </c>
      <c r="AC39" s="2">
        <f t="shared" si="23"/>
        <v>6.6552239472500325</v>
      </c>
      <c r="AD39" s="2">
        <f t="shared" si="23"/>
        <v>6.924813665308279</v>
      </c>
      <c r="AE39" s="2">
        <f t="shared" si="23"/>
        <v>7.2039091680994671</v>
      </c>
    </row>
    <row r="40" spans="2:56" x14ac:dyDescent="0.2">
      <c r="B40" t="s">
        <v>58</v>
      </c>
      <c r="K40" s="9">
        <v>250500000</v>
      </c>
      <c r="L40" s="9">
        <v>251400000</v>
      </c>
      <c r="M40" s="9">
        <v>248600000</v>
      </c>
      <c r="N40" s="9">
        <v>247000000</v>
      </c>
      <c r="O40" s="9">
        <v>247000000</v>
      </c>
      <c r="P40" s="9">
        <v>247000000</v>
      </c>
      <c r="Q40" s="9">
        <v>247000000</v>
      </c>
      <c r="R40" s="9">
        <v>247000000</v>
      </c>
      <c r="S40" s="9">
        <v>247000000</v>
      </c>
      <c r="T40" s="9">
        <v>247000000</v>
      </c>
      <c r="U40" s="9">
        <v>247000000</v>
      </c>
      <c r="V40" s="9">
        <v>247000000</v>
      </c>
      <c r="W40" s="9">
        <v>247000000</v>
      </c>
      <c r="X40" s="9">
        <v>247000000</v>
      </c>
      <c r="Y40" s="9">
        <v>247000000</v>
      </c>
      <c r="Z40" s="9">
        <v>247000000</v>
      </c>
      <c r="AA40" s="9">
        <v>247000000</v>
      </c>
      <c r="AB40" s="9">
        <v>247000000</v>
      </c>
      <c r="AC40" s="9">
        <v>247000000</v>
      </c>
      <c r="AD40" s="9">
        <v>247000000</v>
      </c>
      <c r="AE40" s="9">
        <v>247000000</v>
      </c>
    </row>
    <row r="42" spans="2:56" x14ac:dyDescent="0.2">
      <c r="B42" t="s">
        <v>62</v>
      </c>
      <c r="D42" s="10">
        <f>D16/C16-1</f>
        <v>0.12156728573368247</v>
      </c>
      <c r="E42" s="10">
        <f t="shared" ref="E42:O42" si="24">E16/D16-1</f>
        <v>4.694763046058692E-2</v>
      </c>
      <c r="F42" s="10">
        <f t="shared" si="24"/>
        <v>-4.3892290108392795E-2</v>
      </c>
      <c r="G42" s="10">
        <f t="shared" si="24"/>
        <v>3.1348236115962269E-2</v>
      </c>
      <c r="H42" s="10">
        <f t="shared" si="24"/>
        <v>0.12361358056049454</v>
      </c>
      <c r="I42" s="10">
        <f t="shared" si="24"/>
        <v>0.17112500941903397</v>
      </c>
      <c r="J42" s="10">
        <f t="shared" si="24"/>
        <v>5.0154420280530188E-2</v>
      </c>
      <c r="K42" s="10">
        <f t="shared" si="24"/>
        <v>-3.5719756149863668E-2</v>
      </c>
      <c r="L42" s="10">
        <f t="shared" si="24"/>
        <v>0.16246783365632056</v>
      </c>
      <c r="M42" s="10">
        <f t="shared" si="24"/>
        <v>4.7006094394796971E-3</v>
      </c>
      <c r="N42" s="10">
        <f t="shared" si="24"/>
        <v>3.3647961265402815E-2</v>
      </c>
      <c r="O42" s="10">
        <f t="shared" si="24"/>
        <v>5.2631578947368363E-2</v>
      </c>
      <c r="P42" s="6">
        <v>0.05</v>
      </c>
      <c r="Q42" s="6">
        <v>0.05</v>
      </c>
      <c r="R42" s="6">
        <v>0.05</v>
      </c>
      <c r="S42" s="6">
        <v>0.05</v>
      </c>
      <c r="T42" s="6">
        <v>0.05</v>
      </c>
      <c r="U42" s="6">
        <v>0.05</v>
      </c>
      <c r="V42" s="6">
        <v>0.05</v>
      </c>
      <c r="W42" s="6">
        <v>0.05</v>
      </c>
      <c r="X42" s="6">
        <v>0.03</v>
      </c>
      <c r="Y42" s="6">
        <v>0.03</v>
      </c>
      <c r="Z42" s="6">
        <v>0.03</v>
      </c>
      <c r="AA42" s="6">
        <v>0.03</v>
      </c>
      <c r="AB42" s="6">
        <v>0.03</v>
      </c>
      <c r="AC42" s="6">
        <v>0.03</v>
      </c>
      <c r="AD42" s="6">
        <v>0.03</v>
      </c>
      <c r="AE42" s="6">
        <v>0.03</v>
      </c>
    </row>
    <row r="43" spans="2:56" x14ac:dyDescent="0.2">
      <c r="B43" t="s">
        <v>63</v>
      </c>
      <c r="C43" s="10">
        <f>C22/C16</f>
        <v>0.5128034574555429</v>
      </c>
      <c r="D43" s="10">
        <f t="shared" ref="D43:M43" si="25">D22/D16</f>
        <v>0.52611746566182604</v>
      </c>
      <c r="E43" s="10">
        <f t="shared" si="25"/>
        <v>0.53885168558650098</v>
      </c>
      <c r="F43" s="10">
        <f t="shared" si="25"/>
        <v>0.52488648271044358</v>
      </c>
      <c r="G43" s="10">
        <f t="shared" si="25"/>
        <v>0.52408771484209637</v>
      </c>
      <c r="H43" s="10">
        <f t="shared" si="25"/>
        <v>0.52467786903775149</v>
      </c>
      <c r="I43" s="10">
        <f t="shared" si="25"/>
        <v>0.54079269077338821</v>
      </c>
      <c r="J43" s="10">
        <f t="shared" si="25"/>
        <v>0.54556872836442727</v>
      </c>
      <c r="K43" s="10">
        <f t="shared" si="25"/>
        <v>0.55751818788321628</v>
      </c>
      <c r="L43" s="10">
        <f t="shared" si="25"/>
        <v>0.55606569921565407</v>
      </c>
      <c r="M43" s="10">
        <f t="shared" si="25"/>
        <v>0.5727497755895874</v>
      </c>
      <c r="N43" s="6">
        <v>0.55000000000000004</v>
      </c>
      <c r="O43" s="6">
        <v>0.55000000000000004</v>
      </c>
      <c r="P43" s="6">
        <v>0.55000000000000004</v>
      </c>
      <c r="Q43" s="6">
        <v>0.55000000000000004</v>
      </c>
      <c r="R43" s="6">
        <v>0.55000000000000004</v>
      </c>
      <c r="S43" s="6">
        <v>0.55000000000000004</v>
      </c>
      <c r="T43" s="6">
        <v>0.55000000000000004</v>
      </c>
      <c r="U43" s="6">
        <v>0.55000000000000004</v>
      </c>
      <c r="V43" s="6">
        <v>0.6</v>
      </c>
      <c r="W43" s="6">
        <v>0.6</v>
      </c>
      <c r="X43" s="6">
        <v>0.6</v>
      </c>
      <c r="Y43" s="6">
        <v>0.6</v>
      </c>
      <c r="Z43" s="6">
        <v>0.6</v>
      </c>
      <c r="AA43" s="6">
        <v>0.6</v>
      </c>
      <c r="AB43" s="6">
        <v>0.6</v>
      </c>
      <c r="AC43" s="6">
        <v>0.6</v>
      </c>
      <c r="AD43" s="6">
        <v>0.6</v>
      </c>
      <c r="AE43" s="6">
        <v>0.6</v>
      </c>
    </row>
    <row r="44" spans="2:56" x14ac:dyDescent="0.2">
      <c r="B44" s="17" t="s">
        <v>72</v>
      </c>
      <c r="C44" s="18">
        <f>-C37/C38</f>
        <v>0.20930232558139536</v>
      </c>
      <c r="D44" s="18">
        <f t="shared" ref="D44:M44" si="26">-D37/D38</f>
        <v>0.1590440306922252</v>
      </c>
      <c r="E44" s="18">
        <f t="shared" si="26"/>
        <v>0.24371166217833631</v>
      </c>
      <c r="F44" s="18">
        <f t="shared" si="26"/>
        <v>0.25766362883181443</v>
      </c>
      <c r="G44" s="18">
        <f t="shared" si="26"/>
        <v>0.33661119515885024</v>
      </c>
      <c r="H44" s="18">
        <f t="shared" si="26"/>
        <v>1.1377887788778878</v>
      </c>
      <c r="I44" s="18">
        <f t="shared" si="26"/>
        <v>-1.8708083303918106E-2</v>
      </c>
      <c r="J44" s="18">
        <f t="shared" si="26"/>
        <v>-0.32983479105928087</v>
      </c>
      <c r="K44" s="18">
        <f t="shared" si="26"/>
        <v>1.1264720942140297E-2</v>
      </c>
      <c r="L44" s="18">
        <f t="shared" si="26"/>
        <v>0.16599025974025974</v>
      </c>
      <c r="M44" s="18">
        <f t="shared" si="26"/>
        <v>0.26551034022681785</v>
      </c>
      <c r="N44" s="6">
        <v>0.2</v>
      </c>
      <c r="O44" s="6">
        <v>0.2</v>
      </c>
      <c r="P44" s="6">
        <v>0.2</v>
      </c>
      <c r="Q44" s="6">
        <v>0.2</v>
      </c>
      <c r="R44" s="6">
        <v>0.2</v>
      </c>
      <c r="S44" s="6">
        <v>0.2</v>
      </c>
      <c r="T44" s="6">
        <v>0.2</v>
      </c>
      <c r="U44" s="6">
        <v>0.2</v>
      </c>
      <c r="V44" s="6">
        <v>0.2</v>
      </c>
      <c r="W44" s="6">
        <v>0.2</v>
      </c>
      <c r="X44" s="6">
        <v>0.2</v>
      </c>
      <c r="Y44" s="6">
        <v>0.2</v>
      </c>
      <c r="Z44" s="6">
        <v>0.2</v>
      </c>
      <c r="AA44" s="6">
        <v>0.2</v>
      </c>
      <c r="AB44" s="6">
        <v>0.2</v>
      </c>
      <c r="AC44" s="6">
        <v>0.2</v>
      </c>
      <c r="AD44" s="6">
        <v>0.2</v>
      </c>
      <c r="AE44" s="6">
        <v>0.2</v>
      </c>
    </row>
    <row r="46" spans="2:56" x14ac:dyDescent="0.2">
      <c r="B46" s="7" t="s">
        <v>59</v>
      </c>
      <c r="C46" s="8">
        <v>0.08</v>
      </c>
      <c r="E46" s="15" t="s">
        <v>68</v>
      </c>
      <c r="F46" s="20">
        <v>50</v>
      </c>
      <c r="G46" s="10">
        <f>G28/F28-1</f>
        <v>8.780301584271788E-3</v>
      </c>
      <c r="H46" s="10">
        <f t="shared" ref="H46:M46" si="27">H28/G28-1</f>
        <v>8.4768211920529746E-2</v>
      </c>
      <c r="I46" s="10">
        <f t="shared" si="27"/>
        <v>0.18637711494854359</v>
      </c>
      <c r="J46" s="10">
        <f t="shared" si="27"/>
        <v>3.2860398441520333E-2</v>
      </c>
      <c r="K46" s="10">
        <f t="shared" si="27"/>
        <v>-4.9750889679715304E-2</v>
      </c>
      <c r="L46" s="10">
        <f t="shared" si="27"/>
        <v>0.1038124485057299</v>
      </c>
      <c r="M46" s="10">
        <f t="shared" si="27"/>
        <v>8.2106263147180503E-2</v>
      </c>
      <c r="N46" s="6">
        <v>0.02</v>
      </c>
      <c r="O46" s="6">
        <v>0.02</v>
      </c>
      <c r="P46" s="6">
        <v>0.02</v>
      </c>
      <c r="Q46" s="6">
        <v>0.02</v>
      </c>
      <c r="R46" s="6">
        <v>0.02</v>
      </c>
      <c r="S46" s="6">
        <v>0.02</v>
      </c>
      <c r="T46" s="6">
        <v>0.02</v>
      </c>
      <c r="U46" s="6">
        <v>0.02</v>
      </c>
      <c r="V46" s="6">
        <v>0.02</v>
      </c>
      <c r="W46" s="6">
        <v>0.02</v>
      </c>
      <c r="X46" s="6">
        <v>0.02</v>
      </c>
      <c r="Y46" s="6">
        <v>0.02</v>
      </c>
      <c r="Z46" s="6">
        <v>0.02</v>
      </c>
      <c r="AA46" s="6">
        <v>0.02</v>
      </c>
      <c r="AB46" s="6">
        <v>0.02</v>
      </c>
      <c r="AC46" s="6">
        <v>0.02</v>
      </c>
      <c r="AD46" s="6">
        <v>0.02</v>
      </c>
      <c r="AE46" s="6">
        <v>0.02</v>
      </c>
    </row>
    <row r="47" spans="2:56" x14ac:dyDescent="0.2">
      <c r="B47" s="7" t="s">
        <v>60</v>
      </c>
      <c r="C47" s="22">
        <f>NPV(C46,N38:BD38)</f>
        <v>12958489218.187332</v>
      </c>
      <c r="E47" s="15" t="s">
        <v>58</v>
      </c>
      <c r="F47" s="19">
        <v>247000000</v>
      </c>
      <c r="G47" s="25" t="s">
        <v>75</v>
      </c>
    </row>
    <row r="48" spans="2:56" x14ac:dyDescent="0.2">
      <c r="B48" s="7" t="s">
        <v>61</v>
      </c>
      <c r="C48" s="23">
        <f>C47/F47</f>
        <v>52.463519101973006</v>
      </c>
      <c r="E48" s="15" t="s">
        <v>73</v>
      </c>
      <c r="F48" s="20">
        <f>F46*F47</f>
        <v>12350000000</v>
      </c>
    </row>
    <row r="49" spans="5:9" x14ac:dyDescent="0.2">
      <c r="E49" s="15" t="s">
        <v>74</v>
      </c>
      <c r="F49" s="20">
        <v>271000000</v>
      </c>
      <c r="H49" s="11" t="s">
        <v>71</v>
      </c>
      <c r="I49" s="16">
        <v>-0.01</v>
      </c>
    </row>
    <row r="50" spans="5:9" x14ac:dyDescent="0.2">
      <c r="E50" s="15" t="s">
        <v>69</v>
      </c>
      <c r="F50" s="20">
        <v>176000000</v>
      </c>
    </row>
    <row r="51" spans="5:9" x14ac:dyDescent="0.2">
      <c r="E51" s="15" t="s">
        <v>70</v>
      </c>
      <c r="F51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2023-04-14T17:27:21Z</dcterms:created>
  <dcterms:modified xsi:type="dcterms:W3CDTF">2023-04-15T20:41:10Z</dcterms:modified>
</cp:coreProperties>
</file>