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PRTS/"/>
    </mc:Choice>
  </mc:AlternateContent>
  <xr:revisionPtr revIDLastSave="0" documentId="13_ncr:1_{74E143A1-9849-D448-88EF-8B22541ABD3B}" xr6:coauthVersionLast="45" xr6:coauthVersionMax="45" xr10:uidLastSave="{00000000-0000-0000-0000-000000000000}"/>
  <bookViews>
    <workbookView xWindow="23160" yWindow="640" windowWidth="24940" windowHeight="16940" xr2:uid="{571370AB-F9B5-B242-95AA-CF49D1346906}"/>
  </bookViews>
  <sheets>
    <sheet name="mo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AX28" i="1"/>
  <c r="AY28" i="1" s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7" i="1"/>
  <c r="AC27" i="1"/>
  <c r="AB27" i="1"/>
  <c r="AB28" i="1" s="1"/>
  <c r="AA27" i="1"/>
  <c r="AA28" i="1" s="1"/>
  <c r="Z27" i="1"/>
  <c r="Y27" i="1"/>
  <c r="X27" i="1"/>
  <c r="X28" i="1" s="1"/>
  <c r="W27" i="1"/>
  <c r="W28" i="1" s="1"/>
  <c r="V27" i="1"/>
  <c r="U27" i="1"/>
  <c r="T27" i="1"/>
  <c r="T28" i="1" s="1"/>
  <c r="S27" i="1"/>
  <c r="S28" i="1" s="1"/>
  <c r="R27" i="1"/>
  <c r="Q27" i="1"/>
  <c r="P27" i="1"/>
  <c r="P28" i="1" s="1"/>
  <c r="O27" i="1"/>
  <c r="O28" i="1" s="1"/>
  <c r="N27" i="1"/>
  <c r="M27" i="1"/>
  <c r="AD28" i="1"/>
  <c r="AC28" i="1"/>
  <c r="Z28" i="1"/>
  <c r="Y28" i="1"/>
  <c r="V28" i="1"/>
  <c r="U28" i="1"/>
  <c r="R28" i="1"/>
  <c r="Q28" i="1"/>
  <c r="N28" i="1"/>
  <c r="M28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O22" i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N22" i="1"/>
  <c r="M22" i="1"/>
  <c r="AD21" i="1"/>
  <c r="AD23" i="1" s="1"/>
  <c r="AC21" i="1"/>
  <c r="AC23" i="1" s="1"/>
  <c r="AB21" i="1"/>
  <c r="AB23" i="1" s="1"/>
  <c r="AA21" i="1"/>
  <c r="AA20" i="1" s="1"/>
  <c r="Z21" i="1"/>
  <c r="Z23" i="1" s="1"/>
  <c r="Y21" i="1"/>
  <c r="Y23" i="1" s="1"/>
  <c r="X21" i="1"/>
  <c r="X23" i="1" s="1"/>
  <c r="W21" i="1"/>
  <c r="W20" i="1" s="1"/>
  <c r="V21" i="1"/>
  <c r="V23" i="1" s="1"/>
  <c r="U21" i="1"/>
  <c r="U23" i="1" s="1"/>
  <c r="T21" i="1"/>
  <c r="T23" i="1" s="1"/>
  <c r="S21" i="1"/>
  <c r="S20" i="1" s="1"/>
  <c r="R21" i="1"/>
  <c r="R23" i="1" s="1"/>
  <c r="Q21" i="1"/>
  <c r="Q23" i="1" s="1"/>
  <c r="P21" i="1"/>
  <c r="P23" i="1" s="1"/>
  <c r="O21" i="1"/>
  <c r="O20" i="1" s="1"/>
  <c r="N21" i="1"/>
  <c r="N23" i="1" s="1"/>
  <c r="M21" i="1"/>
  <c r="M23" i="1" s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L35" i="1"/>
  <c r="K35" i="1"/>
  <c r="J35" i="1"/>
  <c r="I35" i="1"/>
  <c r="H35" i="1"/>
  <c r="G35" i="1"/>
  <c r="F35" i="1"/>
  <c r="E35" i="1"/>
  <c r="D35" i="1"/>
  <c r="L33" i="1"/>
  <c r="K33" i="1"/>
  <c r="J33" i="1"/>
  <c r="I33" i="1"/>
  <c r="H33" i="1"/>
  <c r="G33" i="1"/>
  <c r="F33" i="1"/>
  <c r="E33" i="1"/>
  <c r="D33" i="1"/>
  <c r="C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F40" i="1"/>
  <c r="C14" i="1"/>
  <c r="C12" i="1"/>
  <c r="C9" i="1"/>
  <c r="C7" i="1"/>
  <c r="F21" i="1"/>
  <c r="F23" i="1" s="1"/>
  <c r="F26" i="1" s="1"/>
  <c r="F28" i="1" s="1"/>
  <c r="E21" i="1"/>
  <c r="E23" i="1" s="1"/>
  <c r="E26" i="1" s="1"/>
  <c r="E28" i="1" s="1"/>
  <c r="D21" i="1"/>
  <c r="D23" i="1" s="1"/>
  <c r="D26" i="1" s="1"/>
  <c r="D28" i="1" s="1"/>
  <c r="C21" i="1"/>
  <c r="C23" i="1" s="1"/>
  <c r="C26" i="1" s="1"/>
  <c r="C28" i="1" s="1"/>
  <c r="I21" i="1"/>
  <c r="I23" i="1" s="1"/>
  <c r="I26" i="1" s="1"/>
  <c r="I28" i="1" s="1"/>
  <c r="H21" i="1"/>
  <c r="H23" i="1" s="1"/>
  <c r="H26" i="1" s="1"/>
  <c r="H28" i="1" s="1"/>
  <c r="G21" i="1"/>
  <c r="G23" i="1" s="1"/>
  <c r="G26" i="1" s="1"/>
  <c r="G28" i="1" s="1"/>
  <c r="L21" i="1"/>
  <c r="L23" i="1" s="1"/>
  <c r="L26" i="1" s="1"/>
  <c r="L28" i="1" s="1"/>
  <c r="K21" i="1"/>
  <c r="K23" i="1" s="1"/>
  <c r="K26" i="1" s="1"/>
  <c r="K28" i="1" s="1"/>
  <c r="J21" i="1"/>
  <c r="J23" i="1" s="1"/>
  <c r="J26" i="1" s="1"/>
  <c r="J28" i="1" s="1"/>
  <c r="P20" i="1" l="1"/>
  <c r="T20" i="1"/>
  <c r="X20" i="1"/>
  <c r="AB20" i="1"/>
  <c r="O23" i="1"/>
  <c r="S23" i="1"/>
  <c r="W23" i="1"/>
  <c r="AA23" i="1"/>
  <c r="M20" i="1"/>
  <c r="Q20" i="1"/>
  <c r="U20" i="1"/>
  <c r="Y20" i="1"/>
  <c r="AC20" i="1"/>
  <c r="N20" i="1"/>
  <c r="R20" i="1"/>
  <c r="V20" i="1"/>
  <c r="Z20" i="1"/>
  <c r="AD20" i="1"/>
</calcChain>
</file>

<file path=xl/sharedStrings.xml><?xml version="1.0" encoding="utf-8"?>
<sst xmlns="http://schemas.openxmlformats.org/spreadsheetml/2006/main" count="69" uniqueCount="56">
  <si>
    <t xml:space="preserve">Revenue </t>
  </si>
  <si>
    <t>F2020</t>
  </si>
  <si>
    <t>F2021</t>
  </si>
  <si>
    <t>F2022</t>
  </si>
  <si>
    <t>COS</t>
  </si>
  <si>
    <t>Gross Profit</t>
  </si>
  <si>
    <t xml:space="preserve">Op Expense </t>
  </si>
  <si>
    <t>Op Income</t>
  </si>
  <si>
    <t>Other Net</t>
  </si>
  <si>
    <t>Interest Ex</t>
  </si>
  <si>
    <t>Pre Tax</t>
  </si>
  <si>
    <t>Tax</t>
  </si>
  <si>
    <t>Net Income</t>
  </si>
  <si>
    <t>EPS</t>
  </si>
  <si>
    <t>Shares</t>
  </si>
  <si>
    <t>F2019</t>
  </si>
  <si>
    <t>F2018</t>
  </si>
  <si>
    <t>F2017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</si>
  <si>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</si>
  <si>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</si>
  <si>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</si>
  <si>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</si>
  <si>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</si>
  <si>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</si>
  <si>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</si>
  <si>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</si>
  <si>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</si>
  <si>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</si>
  <si>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</si>
  <si>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</si>
  <si>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</si>
  <si>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</si>
  <si>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</si>
  <si>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</si>
  <si>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</si>
  <si>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</si>
  <si>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F2016</t>
  </si>
  <si>
    <t>F2015</t>
  </si>
  <si>
    <t>F2014</t>
  </si>
  <si>
    <t>F2013</t>
  </si>
  <si>
    <t>Rev y/y</t>
  </si>
  <si>
    <t>Q1/23</t>
  </si>
  <si>
    <t>Q2/23</t>
  </si>
  <si>
    <t>Q3/23</t>
  </si>
  <si>
    <t>Q4/23</t>
  </si>
  <si>
    <t>Q1/24</t>
  </si>
  <si>
    <t>Discount</t>
  </si>
  <si>
    <t>NPV</t>
  </si>
  <si>
    <t>Share</t>
  </si>
  <si>
    <t>Price</t>
  </si>
  <si>
    <t>MC</t>
  </si>
  <si>
    <t>Cash</t>
  </si>
  <si>
    <t>Debt</t>
  </si>
  <si>
    <t>EV</t>
  </si>
  <si>
    <t>Op Ex y/y</t>
  </si>
  <si>
    <t>carparts.com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</si>
</sst>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43" fontId="0" fillId="0" borderId="0" xfId="1" applyFont="1"/>
    <xf numFmtId="44" fontId="0" fillId="0" borderId="0" xfId="2" applyFont="1"/>
    <xf numFmtId="44" fontId="0" fillId="2" borderId="0" xfId="2" applyFont="1" applyFill="1"/>
    <xf numFmtId="0" fontId="2" fillId="2" borderId="0" xfId="0" applyFont="1" applyFill="1"/>
    <xf numFmtId="0" fontId="2" fillId="0" borderId="0" xfId="0" applyFont="1" applyFill="1"/>
    <xf numFmtId="14" fontId="2" fillId="0" borderId="0" xfId="0" applyNumberFormat="1" applyFont="1"/>
    <xf numFmtId="0" fontId="0" fillId="3" borderId="0" xfId="0" applyFill="1"/>
    <xf numFmtId="0" fontId="0" fillId="4" borderId="0" xfId="0" applyFill="1"/>
    <xf numFmtId="9" fontId="0" fillId="3" borderId="0" xfId="0" applyNumberFormat="1" applyFill="1"/>
    <xf numFmtId="43" fontId="0" fillId="4" borderId="0" xfId="1" applyFont="1" applyFill="1"/>
    <xf numFmtId="44" fontId="0" fillId="4" borderId="0" xfId="2" applyFont="1" applyFill="1"/>
    <xf numFmtId="9" fontId="0" fillId="0" borderId="0" xfId="3" applyFont="1"/>
    <xf numFmtId="44" fontId="0" fillId="0" borderId="0" xfId="0" applyNumberFormat="1"/>
    <xf numFmtId="9" fontId="0" fillId="0" borderId="0" xfId="0" applyNumberFormat="1"/>
    <xf numFmtId="9" fontId="0" fillId="5" borderId="0" xfId="0" applyNumberFormat="1" applyFill="1"/>
    <xf numFmtId="0" fontId="0" fillId="5" borderId="0" xfId="0" applyFill="1"/>
    <xf numFmtId="44" fontId="0" fillId="2" borderId="0" xfId="0" applyNumberFormat="1" applyFill="1"/>
    <xf numFmtId="9" fontId="0" fillId="6" borderId="0" xfId="0" applyNumberFormat="1" applyFill="1"/>
    <xf numFmtId="9" fontId="0" fillId="0" borderId="0" xfId="0" applyNumberFormat="1" applyFill="1"/>
    <xf numFmtId="8" fontId="0" fillId="3" borderId="0" xfId="0" applyNumberFormat="1" applyFill="1"/>
    <xf numFmtId="0" fontId="0" fillId="7" borderId="0" xfId="0" applyFill="1"/>
    <xf numFmtId="0" fontId="0" fillId="8" borderId="0" xfId="0" applyFill="1"/>
    <xf numFmtId="44" fontId="0" fillId="9" borderId="0" xfId="2" applyFont="1" applyFill="1"/>
    <xf numFmtId="44" fontId="0" fillId="10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11</xdr:row>
      <xdr:rowOff>114300</xdr:rowOff>
    </xdr:from>
    <xdr:to>
      <xdr:col>12</xdr:col>
      <xdr:colOff>12700</xdr:colOff>
      <xdr:row>36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048BF0-F7A1-6249-8CE6-0FA814A5D231}"/>
            </a:ext>
          </a:extLst>
        </xdr:cNvPr>
        <xdr:cNvCxnSpPr/>
      </xdr:nvCxnSpPr>
      <xdr:spPr>
        <a:xfrm>
          <a:off x="14376400" y="723900"/>
          <a:ext cx="0" cy="434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2DB7-D717-784A-A9E0-EA206C3428ED}">
  <dimension ref="B2:AY45"/>
  <sheetViews>
    <sheetView tabSelected="1" topLeftCell="A11" workbookViewId="0">
      <selection activeCell="D44" sqref="D44"/>
    </sheetView>
  </sheetViews>
  <sheetFormatPr baseColWidth="10" defaultRowHeight="16" x14ac:dyDescent="0.2"/>
  <cols>
    <col min="2" max="6" width="16.1640625" customWidth="1"/>
    <col min="7" max="7" width="16.83203125" customWidth="1"/>
    <col min="8" max="18" width="16" bestFit="1" customWidth="1"/>
    <col min="19" max="30" width="17.6640625" bestFit="1" customWidth="1"/>
    <col min="31" max="51" width="15" bestFit="1" customWidth="1"/>
  </cols>
  <sheetData>
    <row r="2" spans="2:9" x14ac:dyDescent="0.2">
      <c r="B2" s="1">
        <v>45105</v>
      </c>
      <c r="C2" s="1"/>
      <c r="D2" s="1"/>
      <c r="E2" s="1"/>
      <c r="F2" s="1"/>
      <c r="G2" s="1"/>
      <c r="H2" s="1"/>
      <c r="I2" s="1"/>
    </row>
    <row r="3" spans="2:9" x14ac:dyDescent="0.2">
      <c r="B3" s="1"/>
      <c r="C3" s="1"/>
      <c r="D3" s="1"/>
      <c r="E3" s="1"/>
      <c r="F3" s="1"/>
      <c r="G3" s="1"/>
      <c r="H3" s="1"/>
      <c r="I3" s="1"/>
    </row>
    <row r="4" spans="2:9" x14ac:dyDescent="0.2">
      <c r="B4" s="1"/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1"/>
      <c r="I4" s="1"/>
    </row>
    <row r="5" spans="2:9" x14ac:dyDescent="0.2">
      <c r="B5" s="2" t="s">
        <v>0</v>
      </c>
      <c r="C5" s="4">
        <v>175492000</v>
      </c>
      <c r="D5" s="1"/>
      <c r="E5" s="1"/>
      <c r="F5" s="1"/>
      <c r="G5" s="1"/>
      <c r="H5" s="1"/>
      <c r="I5" s="1"/>
    </row>
    <row r="6" spans="2:9" x14ac:dyDescent="0.2">
      <c r="B6" t="s">
        <v>4</v>
      </c>
      <c r="C6" s="4">
        <v>112941000</v>
      </c>
      <c r="D6" s="1"/>
      <c r="E6" s="1"/>
      <c r="F6" s="1"/>
      <c r="G6" s="1"/>
      <c r="H6" s="1"/>
      <c r="I6" s="1"/>
    </row>
    <row r="7" spans="2:9" x14ac:dyDescent="0.2">
      <c r="B7" t="s">
        <v>5</v>
      </c>
      <c r="C7" s="4">
        <f>C5-C6</f>
        <v>62551000</v>
      </c>
      <c r="D7" s="1"/>
      <c r="E7" s="1"/>
      <c r="F7" s="1"/>
      <c r="G7" s="1"/>
      <c r="H7" s="1"/>
      <c r="I7" s="1"/>
    </row>
    <row r="8" spans="2:9" x14ac:dyDescent="0.2">
      <c r="B8" t="s">
        <v>6</v>
      </c>
      <c r="C8" s="4">
        <v>61915000</v>
      </c>
      <c r="D8" s="1"/>
      <c r="E8" s="1"/>
      <c r="F8" s="1"/>
      <c r="G8" s="1"/>
      <c r="H8" s="1"/>
      <c r="I8" s="1"/>
    </row>
    <row r="9" spans="2:9" x14ac:dyDescent="0.2">
      <c r="B9" t="s">
        <v>7</v>
      </c>
      <c r="C9" s="4">
        <f>C7-C8</f>
        <v>636000</v>
      </c>
      <c r="D9" s="1"/>
      <c r="E9" s="1"/>
      <c r="F9" s="1"/>
      <c r="G9" s="1"/>
      <c r="H9" s="1"/>
      <c r="I9" s="1"/>
    </row>
    <row r="10" spans="2:9" x14ac:dyDescent="0.2">
      <c r="B10" t="s">
        <v>8</v>
      </c>
      <c r="C10" s="4">
        <v>914000</v>
      </c>
      <c r="D10" s="1"/>
      <c r="E10" s="1"/>
      <c r="F10" s="1"/>
      <c r="G10" s="1"/>
      <c r="H10" s="1"/>
      <c r="I10" s="1"/>
    </row>
    <row r="11" spans="2:9" x14ac:dyDescent="0.2">
      <c r="B11" t="s">
        <v>9</v>
      </c>
      <c r="C11" s="4">
        <v>-358000</v>
      </c>
      <c r="D11" s="1"/>
      <c r="E11" s="1"/>
      <c r="F11" s="1"/>
      <c r="G11" s="1"/>
      <c r="H11" s="1"/>
      <c r="I11" s="1"/>
    </row>
    <row r="12" spans="2:9" x14ac:dyDescent="0.2">
      <c r="B12" t="s">
        <v>10</v>
      </c>
      <c r="C12" s="4">
        <f>C9+C10+C11</f>
        <v>1192000</v>
      </c>
      <c r="D12" s="1"/>
      <c r="E12" s="1"/>
      <c r="F12" s="1"/>
      <c r="G12" s="1"/>
      <c r="H12" s="1"/>
      <c r="I12" s="1"/>
    </row>
    <row r="13" spans="2:9" x14ac:dyDescent="0.2">
      <c r="B13" t="s">
        <v>11</v>
      </c>
      <c r="C13" s="4">
        <v>-141000</v>
      </c>
      <c r="D13" s="1"/>
      <c r="E13" s="1"/>
      <c r="F13" s="1"/>
      <c r="G13" s="1"/>
      <c r="H13" s="1"/>
      <c r="I13" s="1"/>
    </row>
    <row r="14" spans="2:9" x14ac:dyDescent="0.2">
      <c r="B14" s="6" t="s">
        <v>12</v>
      </c>
      <c r="C14" s="4">
        <f>C12+C13</f>
        <v>1051000</v>
      </c>
    </row>
    <row r="15" spans="2:9" x14ac:dyDescent="0.2">
      <c r="B15" s="7"/>
    </row>
    <row r="16" spans="2:9" x14ac:dyDescent="0.2">
      <c r="B16" s="7"/>
    </row>
    <row r="17" spans="2:51" x14ac:dyDescent="0.2">
      <c r="B17" s="7"/>
    </row>
    <row r="18" spans="2:51" x14ac:dyDescent="0.2">
      <c r="C18" s="2" t="s">
        <v>39</v>
      </c>
      <c r="D18" s="2" t="s">
        <v>38</v>
      </c>
      <c r="E18" s="2" t="s">
        <v>37</v>
      </c>
      <c r="F18" s="2" t="s">
        <v>36</v>
      </c>
      <c r="G18" s="2" t="s">
        <v>17</v>
      </c>
      <c r="H18" s="2" t="s">
        <v>16</v>
      </c>
      <c r="I18" s="2" t="s">
        <v>15</v>
      </c>
      <c r="J18" s="2" t="s">
        <v>1</v>
      </c>
      <c r="K18" s="2" t="s">
        <v>2</v>
      </c>
      <c r="L18" s="2" t="s">
        <v>3</v>
      </c>
      <c r="M18" s="2" t="s">
        <v>18</v>
      </c>
      <c r="N18" s="2" t="s">
        <v>19</v>
      </c>
      <c r="O18" s="2" t="s">
        <v>20</v>
      </c>
      <c r="P18" s="2" t="s">
        <v>21</v>
      </c>
      <c r="Q18" s="2" t="s">
        <v>22</v>
      </c>
      <c r="R18" s="2" t="s">
        <v>23</v>
      </c>
      <c r="S18" s="2" t="s">
        <v>24</v>
      </c>
      <c r="T18" s="2" t="s">
        <v>25</v>
      </c>
      <c r="U18" s="2" t="s">
        <v>26</v>
      </c>
      <c r="V18" s="2" t="s">
        <v>27</v>
      </c>
      <c r="W18" s="2" t="s">
        <v>28</v>
      </c>
      <c r="X18" s="2" t="s">
        <v>29</v>
      </c>
      <c r="Y18" s="2" t="s">
        <v>30</v>
      </c>
      <c r="Z18" s="2" t="s">
        <v>31</v>
      </c>
      <c r="AA18" s="2" t="s">
        <v>32</v>
      </c>
      <c r="AB18" s="2" t="s">
        <v>33</v>
      </c>
      <c r="AC18" s="2" t="s">
        <v>34</v>
      </c>
      <c r="AD18" s="2" t="s">
        <v>35</v>
      </c>
    </row>
    <row r="19" spans="2:51" x14ac:dyDescent="0.2">
      <c r="B19" s="2" t="s">
        <v>0</v>
      </c>
      <c r="C19" s="4">
        <v>254422000</v>
      </c>
      <c r="D19" s="4">
        <v>283211000</v>
      </c>
      <c r="E19" s="4">
        <v>290833000</v>
      </c>
      <c r="F19" s="4">
        <v>303324000</v>
      </c>
      <c r="G19" s="4">
        <v>303366000</v>
      </c>
      <c r="H19" s="4">
        <v>289467000</v>
      </c>
      <c r="I19" s="4">
        <v>280657000</v>
      </c>
      <c r="J19" s="4">
        <v>443884000</v>
      </c>
      <c r="K19" s="4">
        <v>582440000</v>
      </c>
      <c r="L19" s="4">
        <v>661604000</v>
      </c>
      <c r="M19" s="4">
        <v>690000000</v>
      </c>
      <c r="N19" s="4">
        <v>740000000</v>
      </c>
      <c r="O19" s="4">
        <v>830000000</v>
      </c>
      <c r="P19" s="4">
        <v>950000000</v>
      </c>
      <c r="Q19" s="15">
        <f>P19*Q32+P19</f>
        <v>969000000</v>
      </c>
      <c r="R19" s="15">
        <f>Q19*R32+Q19</f>
        <v>988380000</v>
      </c>
      <c r="S19" s="15">
        <f>R19*S32+R19</f>
        <v>1008147600</v>
      </c>
      <c r="T19" s="15">
        <f>S19*T32+S19</f>
        <v>1028310552</v>
      </c>
      <c r="U19" s="15">
        <f>T19*U32+T19</f>
        <v>1048876763.04</v>
      </c>
      <c r="V19" s="15">
        <f>U19*V32+U19</f>
        <v>1069854298.3008</v>
      </c>
      <c r="W19" s="15">
        <f>V19*W32+V19</f>
        <v>1091251384.2668159</v>
      </c>
      <c r="X19" s="15">
        <f>W19*X32+W19</f>
        <v>1113076411.9521523</v>
      </c>
      <c r="Y19" s="15">
        <f>X19*Y32+X19</f>
        <v>1135337940.1911952</v>
      </c>
      <c r="Z19" s="15">
        <f>Y19*Z32+Y19</f>
        <v>1158044698.9950192</v>
      </c>
      <c r="AA19" s="15">
        <f>Z19*AA32+Z19</f>
        <v>1181205592.9749196</v>
      </c>
      <c r="AB19" s="15">
        <f>AA19*AB32+AA19</f>
        <v>1204829704.8344181</v>
      </c>
      <c r="AC19" s="15">
        <f>AB19*AC32+AB19</f>
        <v>1228926298.9311063</v>
      </c>
      <c r="AD19" s="15">
        <f>AC19*AD32+AC19</f>
        <v>1253504824.9097285</v>
      </c>
    </row>
    <row r="20" spans="2:51" x14ac:dyDescent="0.2">
      <c r="B20" t="s">
        <v>4</v>
      </c>
      <c r="C20" s="4">
        <v>180620000</v>
      </c>
      <c r="D20" s="4">
        <v>205058000</v>
      </c>
      <c r="E20" s="4">
        <v>207657000</v>
      </c>
      <c r="F20" s="4">
        <v>211277000</v>
      </c>
      <c r="G20" s="4">
        <v>213706000</v>
      </c>
      <c r="H20" s="4">
        <v>210746000</v>
      </c>
      <c r="I20" s="4">
        <v>196434000</v>
      </c>
      <c r="J20" s="4">
        <v>288518000</v>
      </c>
      <c r="K20" s="4">
        <v>385157000</v>
      </c>
      <c r="L20" s="4">
        <v>430714000</v>
      </c>
      <c r="M20" s="15">
        <f>M19-M21</f>
        <v>448500000</v>
      </c>
      <c r="N20" s="15">
        <f t="shared" ref="N20:AD20" si="0">N19-N21</f>
        <v>481000000</v>
      </c>
      <c r="O20" s="15">
        <f t="shared" si="0"/>
        <v>539500000</v>
      </c>
      <c r="P20" s="15">
        <f t="shared" si="0"/>
        <v>617500000</v>
      </c>
      <c r="Q20" s="15">
        <f t="shared" si="0"/>
        <v>629850000</v>
      </c>
      <c r="R20" s="15">
        <f t="shared" si="0"/>
        <v>642447000</v>
      </c>
      <c r="S20" s="15">
        <f t="shared" si="0"/>
        <v>655295940</v>
      </c>
      <c r="T20" s="15">
        <f t="shared" si="0"/>
        <v>668401858.79999995</v>
      </c>
      <c r="U20" s="15">
        <f t="shared" si="0"/>
        <v>681769895.97600007</v>
      </c>
      <c r="V20" s="15">
        <f t="shared" si="0"/>
        <v>695405293.89551997</v>
      </c>
      <c r="W20" s="15">
        <f t="shared" si="0"/>
        <v>709313399.77343035</v>
      </c>
      <c r="X20" s="15">
        <f t="shared" si="0"/>
        <v>723499667.76889896</v>
      </c>
      <c r="Y20" s="15">
        <f t="shared" si="0"/>
        <v>737969661.12427688</v>
      </c>
      <c r="Z20" s="15">
        <f t="shared" si="0"/>
        <v>752729054.34676242</v>
      </c>
      <c r="AA20" s="15">
        <f t="shared" si="0"/>
        <v>767783635.4336977</v>
      </c>
      <c r="AB20" s="15">
        <f t="shared" si="0"/>
        <v>783139308.14237177</v>
      </c>
      <c r="AC20" s="15">
        <f t="shared" si="0"/>
        <v>798802094.30521917</v>
      </c>
      <c r="AD20" s="15">
        <f t="shared" si="0"/>
        <v>814778136.19132352</v>
      </c>
    </row>
    <row r="21" spans="2:51" x14ac:dyDescent="0.2">
      <c r="B21" t="s">
        <v>5</v>
      </c>
      <c r="C21" s="4">
        <f t="shared" ref="C21" si="1">C19-C20</f>
        <v>73802000</v>
      </c>
      <c r="D21" s="4">
        <f t="shared" ref="D21" si="2">D19-D20</f>
        <v>78153000</v>
      </c>
      <c r="E21" s="4">
        <f t="shared" ref="E21" si="3">E19-E20</f>
        <v>83176000</v>
      </c>
      <c r="F21" s="4">
        <f t="shared" ref="F21" si="4">F19-F20</f>
        <v>92047000</v>
      </c>
      <c r="G21" s="4">
        <f t="shared" ref="G21:I21" si="5">G19-G20</f>
        <v>89660000</v>
      </c>
      <c r="H21" s="4">
        <f t="shared" si="5"/>
        <v>78721000</v>
      </c>
      <c r="I21" s="4">
        <f t="shared" si="5"/>
        <v>84223000</v>
      </c>
      <c r="J21" s="4">
        <f>J19-J20</f>
        <v>155366000</v>
      </c>
      <c r="K21" s="4">
        <f t="shared" ref="K21:L21" si="6">K19-K20</f>
        <v>197283000</v>
      </c>
      <c r="L21" s="4">
        <f t="shared" si="6"/>
        <v>230890000</v>
      </c>
      <c r="M21" s="15">
        <f>M19*M33</f>
        <v>241499999.99999997</v>
      </c>
      <c r="N21" s="15">
        <f t="shared" ref="N21:AD21" si="7">N19*N33</f>
        <v>258999999.99999997</v>
      </c>
      <c r="O21" s="15">
        <f t="shared" si="7"/>
        <v>290500000</v>
      </c>
      <c r="P21" s="15">
        <f t="shared" si="7"/>
        <v>332500000</v>
      </c>
      <c r="Q21" s="15">
        <f t="shared" si="7"/>
        <v>339150000</v>
      </c>
      <c r="R21" s="15">
        <f t="shared" si="7"/>
        <v>345933000</v>
      </c>
      <c r="S21" s="15">
        <f t="shared" si="7"/>
        <v>352851660</v>
      </c>
      <c r="T21" s="15">
        <f t="shared" si="7"/>
        <v>359908693.19999999</v>
      </c>
      <c r="U21" s="15">
        <f t="shared" si="7"/>
        <v>367106867.06399995</v>
      </c>
      <c r="V21" s="15">
        <f t="shared" si="7"/>
        <v>374449004.40527999</v>
      </c>
      <c r="W21" s="15">
        <f t="shared" si="7"/>
        <v>381937984.49338555</v>
      </c>
      <c r="X21" s="15">
        <f t="shared" si="7"/>
        <v>389576744.18325329</v>
      </c>
      <c r="Y21" s="15">
        <f t="shared" si="7"/>
        <v>397368279.06691831</v>
      </c>
      <c r="Z21" s="15">
        <f t="shared" si="7"/>
        <v>405315644.64825672</v>
      </c>
      <c r="AA21" s="15">
        <f t="shared" si="7"/>
        <v>413421957.5412218</v>
      </c>
      <c r="AB21" s="15">
        <f t="shared" si="7"/>
        <v>421690396.69204628</v>
      </c>
      <c r="AC21" s="15">
        <f t="shared" si="7"/>
        <v>430124204.62588722</v>
      </c>
      <c r="AD21" s="15">
        <f t="shared" si="7"/>
        <v>438726688.71840495</v>
      </c>
    </row>
    <row r="22" spans="2:51" x14ac:dyDescent="0.2">
      <c r="B22" t="s">
        <v>6</v>
      </c>
      <c r="C22" s="4">
        <v>86579000</v>
      </c>
      <c r="D22" s="4">
        <v>81887000</v>
      </c>
      <c r="E22" s="4">
        <v>82044000</v>
      </c>
      <c r="F22" s="4">
        <v>87782000</v>
      </c>
      <c r="G22" s="4">
        <v>85025000</v>
      </c>
      <c r="H22" s="4">
        <v>83728000</v>
      </c>
      <c r="I22" s="4">
        <v>92473000</v>
      </c>
      <c r="J22" s="4">
        <v>155071000</v>
      </c>
      <c r="K22" s="4">
        <v>206394000</v>
      </c>
      <c r="L22" s="4">
        <v>230239000</v>
      </c>
      <c r="M22" s="15">
        <f>L22*M35+L22</f>
        <v>237146170</v>
      </c>
      <c r="N22" s="15">
        <f t="shared" ref="N22:AD22" si="8">M22*N35+M22</f>
        <v>251374940.19999999</v>
      </c>
      <c r="O22" s="15">
        <f t="shared" si="8"/>
        <v>276512434.21999997</v>
      </c>
      <c r="P22" s="15">
        <f t="shared" si="8"/>
        <v>309693926.32639998</v>
      </c>
      <c r="Q22" s="15">
        <f t="shared" si="8"/>
        <v>312790865.58966398</v>
      </c>
      <c r="R22" s="15">
        <f t="shared" si="8"/>
        <v>315918774.24556065</v>
      </c>
      <c r="S22" s="15">
        <f t="shared" si="8"/>
        <v>319077961.98801625</v>
      </c>
      <c r="T22" s="15">
        <f t="shared" si="8"/>
        <v>322268741.60789639</v>
      </c>
      <c r="U22" s="15">
        <f t="shared" si="8"/>
        <v>325491429.02397537</v>
      </c>
      <c r="V22" s="15">
        <f t="shared" si="8"/>
        <v>328746343.31421512</v>
      </c>
      <c r="W22" s="15">
        <f t="shared" si="8"/>
        <v>332033806.74735725</v>
      </c>
      <c r="X22" s="15">
        <f t="shared" si="8"/>
        <v>335354144.81483084</v>
      </c>
      <c r="Y22" s="15">
        <f t="shared" si="8"/>
        <v>338707686.26297915</v>
      </c>
      <c r="Z22" s="15">
        <f t="shared" si="8"/>
        <v>342094763.12560892</v>
      </c>
      <c r="AA22" s="15">
        <f t="shared" si="8"/>
        <v>345515710.75686502</v>
      </c>
      <c r="AB22" s="15">
        <f t="shared" si="8"/>
        <v>348970867.86443365</v>
      </c>
      <c r="AC22" s="15">
        <f t="shared" si="8"/>
        <v>352460576.54307801</v>
      </c>
      <c r="AD22" s="15">
        <f t="shared" si="8"/>
        <v>355985182.30850881</v>
      </c>
    </row>
    <row r="23" spans="2:51" x14ac:dyDescent="0.2">
      <c r="B23" t="s">
        <v>7</v>
      </c>
      <c r="C23" s="4">
        <f t="shared" ref="C23" si="9">C21-C22</f>
        <v>-12777000</v>
      </c>
      <c r="D23" s="4">
        <f t="shared" ref="D23" si="10">D21-D22</f>
        <v>-3734000</v>
      </c>
      <c r="E23" s="4">
        <f t="shared" ref="E23" si="11">E21-E22</f>
        <v>1132000</v>
      </c>
      <c r="F23" s="4">
        <f t="shared" ref="F23" si="12">F21-F22</f>
        <v>4265000</v>
      </c>
      <c r="G23" s="4">
        <f t="shared" ref="G23:I23" si="13">G21-G22</f>
        <v>4635000</v>
      </c>
      <c r="H23" s="4">
        <f t="shared" si="13"/>
        <v>-5007000</v>
      </c>
      <c r="I23" s="4">
        <f t="shared" si="13"/>
        <v>-8250000</v>
      </c>
      <c r="J23" s="4">
        <f>J21-J22</f>
        <v>295000</v>
      </c>
      <c r="K23" s="4">
        <f t="shared" ref="K23:L23" si="14">K21-K22</f>
        <v>-9111000</v>
      </c>
      <c r="L23" s="4">
        <f t="shared" si="14"/>
        <v>651000</v>
      </c>
      <c r="M23" s="15">
        <f>M21-M22</f>
        <v>4353829.9999999702</v>
      </c>
      <c r="N23" s="15">
        <f t="shared" ref="N23:AD23" si="15">N21-N22</f>
        <v>7625059.7999999821</v>
      </c>
      <c r="O23" s="15">
        <f t="shared" si="15"/>
        <v>13987565.780000031</v>
      </c>
      <c r="P23" s="15">
        <f t="shared" si="15"/>
        <v>22806073.673600018</v>
      </c>
      <c r="Q23" s="15">
        <f t="shared" si="15"/>
        <v>26359134.410336018</v>
      </c>
      <c r="R23" s="15">
        <f t="shared" si="15"/>
        <v>30014225.754439354</v>
      </c>
      <c r="S23" s="15">
        <f t="shared" si="15"/>
        <v>33773698.011983752</v>
      </c>
      <c r="T23" s="15">
        <f t="shared" si="15"/>
        <v>37639951.592103601</v>
      </c>
      <c r="U23" s="15">
        <f t="shared" si="15"/>
        <v>41615438.040024579</v>
      </c>
      <c r="V23" s="15">
        <f t="shared" si="15"/>
        <v>45702661.09106487</v>
      </c>
      <c r="W23" s="15">
        <f t="shared" si="15"/>
        <v>49904177.746028304</v>
      </c>
      <c r="X23" s="15">
        <f t="shared" si="15"/>
        <v>54222599.368422449</v>
      </c>
      <c r="Y23" s="15">
        <f t="shared" si="15"/>
        <v>58660592.803939164</v>
      </c>
      <c r="Z23" s="15">
        <f t="shared" si="15"/>
        <v>63220881.522647798</v>
      </c>
      <c r="AA23" s="15">
        <f t="shared" si="15"/>
        <v>67906246.784356773</v>
      </c>
      <c r="AB23" s="15">
        <f t="shared" si="15"/>
        <v>72719528.827612638</v>
      </c>
      <c r="AC23" s="15">
        <f t="shared" si="15"/>
        <v>77663628.08280921</v>
      </c>
      <c r="AD23" s="15">
        <f t="shared" si="15"/>
        <v>82741506.409896135</v>
      </c>
    </row>
    <row r="24" spans="2:51" x14ac:dyDescent="0.2">
      <c r="B24" t="s">
        <v>8</v>
      </c>
      <c r="C24" s="4">
        <v>-824000</v>
      </c>
      <c r="D24" s="4">
        <v>-1036000</v>
      </c>
      <c r="E24" s="4">
        <v>-1180000</v>
      </c>
      <c r="F24" s="4">
        <v>-1192000</v>
      </c>
      <c r="G24" s="4">
        <v>54000</v>
      </c>
      <c r="H24" s="4">
        <v>1387000</v>
      </c>
      <c r="I24" s="4">
        <v>36000</v>
      </c>
      <c r="J24" s="4">
        <v>213000</v>
      </c>
      <c r="K24" s="4">
        <v>238000</v>
      </c>
      <c r="L24" s="4">
        <v>467000</v>
      </c>
    </row>
    <row r="25" spans="2:51" x14ac:dyDescent="0.2">
      <c r="B25" t="s">
        <v>9</v>
      </c>
      <c r="C25" s="4"/>
      <c r="D25" s="4"/>
      <c r="E25" s="4"/>
      <c r="F25" s="4"/>
      <c r="G25" s="4">
        <v>-1655000</v>
      </c>
      <c r="H25" s="4">
        <v>-1598000</v>
      </c>
      <c r="I25" s="4">
        <v>-1897000</v>
      </c>
      <c r="J25" s="4">
        <v>-1714000</v>
      </c>
      <c r="K25" s="4">
        <v>-1115000</v>
      </c>
      <c r="L25" s="4">
        <v>-1437000</v>
      </c>
      <c r="M25" s="4">
        <v>-1500000</v>
      </c>
      <c r="N25" s="4">
        <v>-1500000</v>
      </c>
      <c r="O25" s="4">
        <v>-1500000</v>
      </c>
      <c r="P25" s="4">
        <v>-1500000</v>
      </c>
      <c r="Q25" s="4">
        <v>-1500000</v>
      </c>
      <c r="R25" s="4">
        <v>-1500000</v>
      </c>
      <c r="S25" s="4">
        <v>-1500000</v>
      </c>
      <c r="T25" s="4">
        <v>-1500000</v>
      </c>
      <c r="U25" s="4">
        <v>-1500000</v>
      </c>
      <c r="V25" s="4">
        <v>-1500000</v>
      </c>
      <c r="W25" s="4">
        <v>-1500000</v>
      </c>
      <c r="X25" s="4">
        <v>-1500000</v>
      </c>
      <c r="Y25" s="4">
        <v>-1500000</v>
      </c>
      <c r="Z25" s="4">
        <v>-1500000</v>
      </c>
      <c r="AA25" s="4">
        <v>-1500000</v>
      </c>
      <c r="AB25" s="4">
        <v>-1500000</v>
      </c>
      <c r="AC25" s="4">
        <v>-1500000</v>
      </c>
      <c r="AD25" s="4">
        <v>-1500000</v>
      </c>
    </row>
    <row r="26" spans="2:51" x14ac:dyDescent="0.2">
      <c r="B26" t="s">
        <v>10</v>
      </c>
      <c r="C26" s="4">
        <f t="shared" ref="C26" si="16">C23+C24+C25</f>
        <v>-13601000</v>
      </c>
      <c r="D26" s="4">
        <f t="shared" ref="D26" si="17">D23+D24+D25</f>
        <v>-4770000</v>
      </c>
      <c r="E26" s="4">
        <f t="shared" ref="E26" si="18">E23+E24+E25</f>
        <v>-48000</v>
      </c>
      <c r="F26" s="4">
        <f t="shared" ref="F26" si="19">F23+F24+F25</f>
        <v>3073000</v>
      </c>
      <c r="G26" s="4">
        <f t="shared" ref="G26:I26" si="20">G23+G24+G25</f>
        <v>3034000</v>
      </c>
      <c r="H26" s="4">
        <f t="shared" si="20"/>
        <v>-5218000</v>
      </c>
      <c r="I26" s="4">
        <f t="shared" si="20"/>
        <v>-10111000</v>
      </c>
      <c r="J26" s="4">
        <f>J23+J24+J25</f>
        <v>-1206000</v>
      </c>
      <c r="K26" s="4">
        <f t="shared" ref="K26:L26" si="21">K23+K24+K25</f>
        <v>-9988000</v>
      </c>
      <c r="L26" s="4">
        <f t="shared" si="21"/>
        <v>-319000</v>
      </c>
      <c r="M26" s="15">
        <f>M23+M25</f>
        <v>2853829.9999999702</v>
      </c>
      <c r="N26" s="15">
        <f t="shared" ref="N26:AD26" si="22">N23+N25</f>
        <v>6125059.7999999821</v>
      </c>
      <c r="O26" s="15">
        <f t="shared" si="22"/>
        <v>12487565.780000031</v>
      </c>
      <c r="P26" s="15">
        <f t="shared" si="22"/>
        <v>21306073.673600018</v>
      </c>
      <c r="Q26" s="15">
        <f t="shared" si="22"/>
        <v>24859134.410336018</v>
      </c>
      <c r="R26" s="15">
        <f t="shared" si="22"/>
        <v>28514225.754439354</v>
      </c>
      <c r="S26" s="15">
        <f t="shared" si="22"/>
        <v>32273698.011983752</v>
      </c>
      <c r="T26" s="15">
        <f t="shared" si="22"/>
        <v>36139951.592103601</v>
      </c>
      <c r="U26" s="15">
        <f t="shared" si="22"/>
        <v>40115438.040024579</v>
      </c>
      <c r="V26" s="15">
        <f t="shared" si="22"/>
        <v>44202661.09106487</v>
      </c>
      <c r="W26" s="15">
        <f t="shared" si="22"/>
        <v>48404177.746028304</v>
      </c>
      <c r="X26" s="15">
        <f t="shared" si="22"/>
        <v>52722599.368422449</v>
      </c>
      <c r="Y26" s="15">
        <f t="shared" si="22"/>
        <v>57160592.803939164</v>
      </c>
      <c r="Z26" s="15">
        <f t="shared" si="22"/>
        <v>61720881.522647798</v>
      </c>
      <c r="AA26" s="15">
        <f t="shared" si="22"/>
        <v>66406246.784356773</v>
      </c>
      <c r="AB26" s="15">
        <f t="shared" si="22"/>
        <v>71219528.827612638</v>
      </c>
      <c r="AC26" s="15">
        <f t="shared" si="22"/>
        <v>76163628.08280921</v>
      </c>
      <c r="AD26" s="15">
        <f t="shared" si="22"/>
        <v>81241506.409896135</v>
      </c>
    </row>
    <row r="27" spans="2:51" x14ac:dyDescent="0.2">
      <c r="B27" t="s">
        <v>11</v>
      </c>
      <c r="C27" s="4">
        <v>-43000</v>
      </c>
      <c r="D27" s="4">
        <v>-137000</v>
      </c>
      <c r="E27" s="4">
        <v>-88000</v>
      </c>
      <c r="F27" s="4">
        <v>-100000</v>
      </c>
      <c r="G27" s="4">
        <v>21540000</v>
      </c>
      <c r="H27" s="4">
        <v>329000</v>
      </c>
      <c r="I27" s="4">
        <v>-21437000</v>
      </c>
      <c r="J27" s="4">
        <v>-307000</v>
      </c>
      <c r="K27" s="4">
        <v>-351000</v>
      </c>
      <c r="L27" s="4">
        <v>-632000</v>
      </c>
      <c r="M27" s="15">
        <f>-(M26*M34)</f>
        <v>-570765.99999999406</v>
      </c>
      <c r="N27" s="15">
        <f t="shared" ref="N27:AD27" si="23">-(N26*N34)</f>
        <v>-1225011.9599999965</v>
      </c>
      <c r="O27" s="15">
        <f t="shared" si="23"/>
        <v>-2497513.1560000065</v>
      </c>
      <c r="P27" s="15">
        <f t="shared" si="23"/>
        <v>-4261214.7347200038</v>
      </c>
      <c r="Q27" s="15">
        <f t="shared" si="23"/>
        <v>-4971826.8820672035</v>
      </c>
      <c r="R27" s="15">
        <f t="shared" si="23"/>
        <v>-5702845.1508878712</v>
      </c>
      <c r="S27" s="15">
        <f t="shared" si="23"/>
        <v>-6454739.6023967508</v>
      </c>
      <c r="T27" s="15">
        <f t="shared" si="23"/>
        <v>-7227990.3184207203</v>
      </c>
      <c r="U27" s="15">
        <f t="shared" si="23"/>
        <v>-8023087.6080049165</v>
      </c>
      <c r="V27" s="15">
        <f t="shared" si="23"/>
        <v>-8840532.2182129752</v>
      </c>
      <c r="W27" s="15">
        <f t="shared" si="23"/>
        <v>-9680835.5492056608</v>
      </c>
      <c r="X27" s="15">
        <f t="shared" si="23"/>
        <v>-10544519.87368449</v>
      </c>
      <c r="Y27" s="15">
        <f t="shared" si="23"/>
        <v>-11432118.560787834</v>
      </c>
      <c r="Z27" s="15">
        <f t="shared" si="23"/>
        <v>-12344176.304529561</v>
      </c>
      <c r="AA27" s="15">
        <f t="shared" si="23"/>
        <v>-13281249.356871355</v>
      </c>
      <c r="AB27" s="15">
        <f t="shared" si="23"/>
        <v>-14243905.765522528</v>
      </c>
      <c r="AC27" s="15">
        <f t="shared" si="23"/>
        <v>-15232725.616561843</v>
      </c>
      <c r="AD27" s="15">
        <f t="shared" si="23"/>
        <v>-16248301.281979227</v>
      </c>
    </row>
    <row r="28" spans="2:51" x14ac:dyDescent="0.2">
      <c r="B28" s="6" t="s">
        <v>12</v>
      </c>
      <c r="C28" s="5">
        <f t="shared" ref="C28" si="24">C26+C27</f>
        <v>-13644000</v>
      </c>
      <c r="D28" s="5">
        <f t="shared" ref="D28" si="25">D26+D27</f>
        <v>-4907000</v>
      </c>
      <c r="E28" s="5">
        <f t="shared" ref="E28" si="26">E26+E27</f>
        <v>-136000</v>
      </c>
      <c r="F28" s="5">
        <f t="shared" ref="F28" si="27">F26+F27</f>
        <v>2973000</v>
      </c>
      <c r="G28" s="5">
        <f t="shared" ref="G28:I28" si="28">G26+G27</f>
        <v>24574000</v>
      </c>
      <c r="H28" s="5">
        <f t="shared" si="28"/>
        <v>-4889000</v>
      </c>
      <c r="I28" s="5">
        <f t="shared" si="28"/>
        <v>-31548000</v>
      </c>
      <c r="J28" s="5">
        <f>J26+J27</f>
        <v>-1513000</v>
      </c>
      <c r="K28" s="5">
        <f t="shared" ref="K28:L28" si="29">K26+K27</f>
        <v>-10339000</v>
      </c>
      <c r="L28" s="5">
        <f t="shared" si="29"/>
        <v>-951000</v>
      </c>
      <c r="M28" s="19">
        <f>M26+M27</f>
        <v>2283063.9999999763</v>
      </c>
      <c r="N28" s="19">
        <f t="shared" ref="N28:AD28" si="30">N26+N27</f>
        <v>4900047.8399999859</v>
      </c>
      <c r="O28" s="19">
        <f t="shared" si="30"/>
        <v>9990052.6240000241</v>
      </c>
      <c r="P28" s="19">
        <f t="shared" si="30"/>
        <v>17044858.938880015</v>
      </c>
      <c r="Q28" s="19">
        <f t="shared" si="30"/>
        <v>19887307.528268814</v>
      </c>
      <c r="R28" s="19">
        <f t="shared" si="30"/>
        <v>22811380.603551485</v>
      </c>
      <c r="S28" s="19">
        <f t="shared" si="30"/>
        <v>25818958.409587003</v>
      </c>
      <c r="T28" s="19">
        <f t="shared" si="30"/>
        <v>28911961.273682881</v>
      </c>
      <c r="U28" s="19">
        <f t="shared" si="30"/>
        <v>32092350.432019662</v>
      </c>
      <c r="V28" s="19">
        <f t="shared" si="30"/>
        <v>35362128.872851893</v>
      </c>
      <c r="W28" s="19">
        <f t="shared" si="30"/>
        <v>38723342.196822643</v>
      </c>
      <c r="X28" s="19">
        <f t="shared" si="30"/>
        <v>42178079.49473796</v>
      </c>
      <c r="Y28" s="19">
        <f t="shared" si="30"/>
        <v>45728474.243151329</v>
      </c>
      <c r="Z28" s="19">
        <f t="shared" si="30"/>
        <v>49376705.218118235</v>
      </c>
      <c r="AA28" s="19">
        <f t="shared" si="30"/>
        <v>53124997.427485421</v>
      </c>
      <c r="AB28" s="19">
        <f t="shared" si="30"/>
        <v>56975623.062090114</v>
      </c>
      <c r="AC28" s="19">
        <f t="shared" si="30"/>
        <v>60930902.466247365</v>
      </c>
      <c r="AD28" s="19">
        <f t="shared" si="30"/>
        <v>64993205.12791691</v>
      </c>
      <c r="AE28" s="15">
        <f>AD28*Z38+AD28</f>
        <v>64343273.076637737</v>
      </c>
      <c r="AF28" s="15">
        <f>AE28*Z38+AE28</f>
        <v>63699840.345871359</v>
      </c>
      <c r="AG28" s="15">
        <f>AF28*Z38+AF28</f>
        <v>63062841.942412645</v>
      </c>
      <c r="AH28" s="15">
        <f>AG28*Z38+AG28</f>
        <v>62432213.522988521</v>
      </c>
      <c r="AI28" s="15">
        <f>AH28*Z38+AH28</f>
        <v>61807891.387758635</v>
      </c>
      <c r="AJ28" s="15">
        <f>AI28*Z38+AI28</f>
        <v>61189812.473881051</v>
      </c>
      <c r="AK28" s="15">
        <f>AJ28*Z38+AJ28</f>
        <v>60577914.349142238</v>
      </c>
      <c r="AL28" s="15">
        <f>AK28*Z38+AK28</f>
        <v>59972135.205650814</v>
      </c>
      <c r="AM28" s="15">
        <f>AL28*Z38+AL28</f>
        <v>59372413.853594303</v>
      </c>
      <c r="AN28" s="15">
        <f>AM28*Z38+AM28</f>
        <v>58778689.715058357</v>
      </c>
      <c r="AO28" s="15">
        <f>AN28*Z38+AN28</f>
        <v>58190902.817907773</v>
      </c>
      <c r="AP28" s="15">
        <f>AO28*Z38+AO28</f>
        <v>57608993.789728694</v>
      </c>
      <c r="AQ28" s="15">
        <f>AP28*Z38+AP28</f>
        <v>57032903.851831406</v>
      </c>
      <c r="AR28" s="15">
        <f>AQ28*Z38+AQ28</f>
        <v>56462574.813313089</v>
      </c>
      <c r="AS28" s="15">
        <f>AR28*Z38+AR28</f>
        <v>55897949.065179959</v>
      </c>
      <c r="AT28" s="15">
        <f>AS28*Z38+AS28</f>
        <v>55338969.574528158</v>
      </c>
      <c r="AU28" s="15">
        <f>AT28*Z38+AT28</f>
        <v>54785579.878782876</v>
      </c>
      <c r="AV28" s="15">
        <f>AU28*Z38+AU28</f>
        <v>54237724.079995044</v>
      </c>
      <c r="AW28" s="15">
        <f>AV28*Z38+AV28</f>
        <v>53695346.839195095</v>
      </c>
      <c r="AX28" s="15">
        <f>AW28*Z38+AW28</f>
        <v>53158393.370803148</v>
      </c>
      <c r="AY28" s="15">
        <f>AX28*Z38+AX28</f>
        <v>52626809.437095113</v>
      </c>
    </row>
    <row r="29" spans="2:51" x14ac:dyDescent="0.2">
      <c r="B29" t="s">
        <v>13</v>
      </c>
      <c r="M29" s="4">
        <f>M28/M30</f>
        <v>4.0053754385964493E-2</v>
      </c>
      <c r="N29" s="4">
        <f t="shared" ref="N29:AD29" si="31">N28/N30</f>
        <v>8.5965751578947119E-2</v>
      </c>
      <c r="O29" s="4">
        <f t="shared" si="31"/>
        <v>0.17526408112280745</v>
      </c>
      <c r="P29" s="4">
        <f t="shared" si="31"/>
        <v>0.29903261296280731</v>
      </c>
      <c r="Q29" s="4">
        <f t="shared" si="31"/>
        <v>0.34890013207489146</v>
      </c>
      <c r="R29" s="4">
        <f t="shared" si="31"/>
        <v>0.40019965971142957</v>
      </c>
      <c r="S29" s="4">
        <f t="shared" si="31"/>
        <v>0.45296418262433341</v>
      </c>
      <c r="T29" s="4">
        <f t="shared" si="31"/>
        <v>0.50722739076636636</v>
      </c>
      <c r="U29" s="4">
        <f t="shared" si="31"/>
        <v>0.56302369178981859</v>
      </c>
      <c r="V29" s="4">
        <f t="shared" si="31"/>
        <v>0.62038822583950692</v>
      </c>
      <c r="W29" s="4">
        <f t="shared" si="31"/>
        <v>0.6793568806460113</v>
      </c>
      <c r="X29" s="4">
        <f t="shared" si="31"/>
        <v>0.73996630692522736</v>
      </c>
      <c r="Y29" s="4">
        <f t="shared" si="31"/>
        <v>0.80225393409037415</v>
      </c>
      <c r="Z29" s="4">
        <f t="shared" si="31"/>
        <v>0.86625798628277606</v>
      </c>
      <c r="AA29" s="4">
        <f t="shared" si="31"/>
        <v>0.93201749872781436</v>
      </c>
      <c r="AB29" s="4">
        <f t="shared" si="31"/>
        <v>0.9995723344226336</v>
      </c>
      <c r="AC29" s="4">
        <f t="shared" si="31"/>
        <v>1.0689632011622345</v>
      </c>
      <c r="AD29" s="4">
        <f t="shared" si="31"/>
        <v>1.1402316689108229</v>
      </c>
    </row>
    <row r="30" spans="2:51" x14ac:dyDescent="0.2">
      <c r="B30" t="s">
        <v>14</v>
      </c>
      <c r="C30" s="3">
        <v>32697000</v>
      </c>
      <c r="D30" s="3">
        <v>33489000</v>
      </c>
      <c r="E30" s="3">
        <v>33946000</v>
      </c>
      <c r="F30" s="3">
        <v>36207000</v>
      </c>
      <c r="G30" s="3">
        <v>39634000</v>
      </c>
      <c r="J30" s="3">
        <v>42333000</v>
      </c>
      <c r="K30" s="3">
        <v>51381000</v>
      </c>
      <c r="L30" s="3">
        <v>54137000</v>
      </c>
      <c r="M30" s="3">
        <v>57000000</v>
      </c>
      <c r="N30" s="3">
        <v>57000000</v>
      </c>
      <c r="O30" s="3">
        <v>57000000</v>
      </c>
      <c r="P30" s="3">
        <v>57000000</v>
      </c>
      <c r="Q30" s="3">
        <v>57000000</v>
      </c>
      <c r="R30" s="3">
        <v>57000000</v>
      </c>
      <c r="S30" s="3">
        <v>57000000</v>
      </c>
      <c r="T30" s="3">
        <v>57000000</v>
      </c>
      <c r="U30" s="3">
        <v>57000000</v>
      </c>
      <c r="V30" s="3">
        <v>57000000</v>
      </c>
      <c r="W30" s="3">
        <v>57000000</v>
      </c>
      <c r="X30" s="3">
        <v>57000000</v>
      </c>
      <c r="Y30" s="3">
        <v>57000000</v>
      </c>
      <c r="Z30" s="3">
        <v>57000000</v>
      </c>
      <c r="AA30" s="3">
        <v>57000000</v>
      </c>
      <c r="AB30" s="3">
        <v>57000000</v>
      </c>
      <c r="AC30" s="3">
        <v>57000000</v>
      </c>
      <c r="AD30" s="3">
        <v>57000000</v>
      </c>
    </row>
    <row r="32" spans="2:51" x14ac:dyDescent="0.2">
      <c r="B32" t="s">
        <v>40</v>
      </c>
      <c r="D32" s="14">
        <f>D19/C19-1</f>
        <v>0.11315452280070115</v>
      </c>
      <c r="E32" s="14">
        <f t="shared" ref="E32:P32" si="32">E19/D19-1</f>
        <v>2.6912796466239008E-2</v>
      </c>
      <c r="F32" s="14">
        <f t="shared" si="32"/>
        <v>4.2949046359938459E-2</v>
      </c>
      <c r="G32" s="14">
        <f t="shared" si="32"/>
        <v>1.384657989476068E-4</v>
      </c>
      <c r="H32" s="14">
        <f t="shared" si="32"/>
        <v>-4.5815945096022603E-2</v>
      </c>
      <c r="I32" s="14">
        <f t="shared" si="32"/>
        <v>-3.0435248232095535E-2</v>
      </c>
      <c r="J32" s="14">
        <f t="shared" si="32"/>
        <v>0.58158891458256878</v>
      </c>
      <c r="K32" s="14">
        <f t="shared" si="32"/>
        <v>0.31214461435870633</v>
      </c>
      <c r="L32" s="14">
        <f t="shared" si="32"/>
        <v>0.13591786278414952</v>
      </c>
      <c r="M32" s="14">
        <f t="shared" si="32"/>
        <v>4.2919933978633695E-2</v>
      </c>
      <c r="N32" s="14">
        <f t="shared" si="32"/>
        <v>7.2463768115942129E-2</v>
      </c>
      <c r="O32" s="14">
        <f t="shared" si="32"/>
        <v>0.12162162162162171</v>
      </c>
      <c r="P32" s="14">
        <f t="shared" si="32"/>
        <v>0.14457831325301207</v>
      </c>
      <c r="Q32" s="14">
        <v>0.02</v>
      </c>
      <c r="R32" s="14">
        <v>0.02</v>
      </c>
      <c r="S32" s="14">
        <v>0.02</v>
      </c>
      <c r="T32" s="14">
        <v>0.02</v>
      </c>
      <c r="U32" s="14">
        <v>0.02</v>
      </c>
      <c r="V32" s="14">
        <v>0.02</v>
      </c>
      <c r="W32" s="14">
        <v>0.02</v>
      </c>
      <c r="X32" s="14">
        <v>0.02</v>
      </c>
      <c r="Y32" s="14">
        <v>0.02</v>
      </c>
      <c r="Z32" s="14">
        <v>0.02</v>
      </c>
      <c r="AA32" s="14">
        <v>0.02</v>
      </c>
      <c r="AB32" s="14">
        <v>0.02</v>
      </c>
      <c r="AC32" s="14">
        <v>0.02</v>
      </c>
      <c r="AD32" s="14">
        <v>0.02</v>
      </c>
    </row>
    <row r="33" spans="2:31" x14ac:dyDescent="0.2">
      <c r="B33" t="s">
        <v>5</v>
      </c>
      <c r="C33" s="14">
        <f>C21/C19</f>
        <v>0.29007711597267533</v>
      </c>
      <c r="D33" s="14">
        <f t="shared" ref="D33:L33" si="33">D21/D19</f>
        <v>0.27595326452715468</v>
      </c>
      <c r="E33" s="14">
        <f t="shared" si="33"/>
        <v>0.28599230486224053</v>
      </c>
      <c r="F33" s="14">
        <f t="shared" si="33"/>
        <v>0.30346098561274415</v>
      </c>
      <c r="G33" s="14">
        <f t="shared" si="33"/>
        <v>0.29555058905744219</v>
      </c>
      <c r="H33" s="14">
        <f t="shared" si="33"/>
        <v>0.27195155233584484</v>
      </c>
      <c r="I33" s="14">
        <f t="shared" si="33"/>
        <v>0.30009228346344469</v>
      </c>
      <c r="J33" s="14">
        <f t="shared" si="33"/>
        <v>0.35001486874949311</v>
      </c>
      <c r="K33" s="14">
        <f t="shared" si="33"/>
        <v>0.33871815122587734</v>
      </c>
      <c r="L33" s="14">
        <f t="shared" si="33"/>
        <v>0.34898519355989382</v>
      </c>
      <c r="M33" s="14">
        <v>0.35</v>
      </c>
      <c r="N33" s="14">
        <v>0.35</v>
      </c>
      <c r="O33" s="14">
        <v>0.35</v>
      </c>
      <c r="P33" s="14">
        <v>0.35</v>
      </c>
      <c r="Q33" s="14">
        <v>0.35</v>
      </c>
      <c r="R33" s="14">
        <v>0.35</v>
      </c>
      <c r="S33" s="14">
        <v>0.35</v>
      </c>
      <c r="T33" s="14">
        <v>0.35</v>
      </c>
      <c r="U33" s="14">
        <v>0.35</v>
      </c>
      <c r="V33" s="14">
        <v>0.35</v>
      </c>
      <c r="W33" s="14">
        <v>0.35</v>
      </c>
      <c r="X33" s="14">
        <v>0.35</v>
      </c>
      <c r="Y33" s="14">
        <v>0.35</v>
      </c>
      <c r="Z33" s="14">
        <v>0.35</v>
      </c>
      <c r="AA33" s="14">
        <v>0.35</v>
      </c>
      <c r="AB33" s="14">
        <v>0.35</v>
      </c>
      <c r="AC33" s="14">
        <v>0.35</v>
      </c>
      <c r="AD33" s="14">
        <v>0.35</v>
      </c>
    </row>
    <row r="34" spans="2:31" x14ac:dyDescent="0.2">
      <c r="B34" s="18" t="s">
        <v>11</v>
      </c>
      <c r="M34" s="17">
        <v>0.2</v>
      </c>
      <c r="N34" s="17">
        <v>0.2</v>
      </c>
      <c r="O34" s="17">
        <v>0.2</v>
      </c>
      <c r="P34" s="17">
        <v>0.2</v>
      </c>
      <c r="Q34" s="17">
        <v>0.2</v>
      </c>
      <c r="R34" s="17">
        <v>0.2</v>
      </c>
      <c r="S34" s="17">
        <v>0.2</v>
      </c>
      <c r="T34" s="17">
        <v>0.2</v>
      </c>
      <c r="U34" s="17">
        <v>0.2</v>
      </c>
      <c r="V34" s="17">
        <v>0.2</v>
      </c>
      <c r="W34" s="17">
        <v>0.2</v>
      </c>
      <c r="X34" s="17">
        <v>0.2</v>
      </c>
      <c r="Y34" s="17">
        <v>0.2</v>
      </c>
      <c r="Z34" s="17">
        <v>0.2</v>
      </c>
      <c r="AA34" s="17">
        <v>0.2</v>
      </c>
      <c r="AB34" s="17">
        <v>0.2</v>
      </c>
      <c r="AC34" s="17">
        <v>0.2</v>
      </c>
      <c r="AD34" s="17">
        <v>0.2</v>
      </c>
    </row>
    <row r="35" spans="2:31" x14ac:dyDescent="0.2">
      <c r="B35" t="s">
        <v>54</v>
      </c>
      <c r="D35" s="14">
        <f>D22/C22-1</f>
        <v>-5.4193280125665599E-2</v>
      </c>
      <c r="E35" s="14">
        <f t="shared" ref="E35:L35" si="34">E22/D22-1</f>
        <v>1.9172762465349269E-3</v>
      </c>
      <c r="F35" s="14">
        <f t="shared" si="34"/>
        <v>6.9938082004777913E-2</v>
      </c>
      <c r="G35" s="14">
        <f t="shared" si="34"/>
        <v>-3.1407350026201319E-2</v>
      </c>
      <c r="H35" s="14">
        <f t="shared" si="34"/>
        <v>-1.5254336959717785E-2</v>
      </c>
      <c r="I35" s="14">
        <f t="shared" si="34"/>
        <v>0.10444534683737827</v>
      </c>
      <c r="J35" s="14">
        <f t="shared" si="34"/>
        <v>0.67693272630930101</v>
      </c>
      <c r="K35" s="14">
        <f t="shared" si="34"/>
        <v>0.33096452592683345</v>
      </c>
      <c r="L35" s="14">
        <f t="shared" si="34"/>
        <v>0.11553145924784625</v>
      </c>
      <c r="M35" s="16">
        <v>0.03</v>
      </c>
      <c r="N35" s="16">
        <v>0.06</v>
      </c>
      <c r="O35" s="16">
        <v>0.1</v>
      </c>
      <c r="P35" s="16">
        <v>0.12</v>
      </c>
      <c r="Q35" s="16">
        <v>0.01</v>
      </c>
      <c r="R35" s="16">
        <v>0.01</v>
      </c>
      <c r="S35" s="16">
        <v>0.01</v>
      </c>
      <c r="T35" s="16">
        <v>0.01</v>
      </c>
      <c r="U35" s="16">
        <v>0.01</v>
      </c>
      <c r="V35" s="16">
        <v>0.01</v>
      </c>
      <c r="W35" s="16">
        <v>0.01</v>
      </c>
      <c r="X35" s="16">
        <v>0.01</v>
      </c>
      <c r="Y35" s="16">
        <v>0.01</v>
      </c>
      <c r="Z35" s="16">
        <v>0.01</v>
      </c>
      <c r="AA35" s="16">
        <v>0.01</v>
      </c>
      <c r="AB35" s="16">
        <v>0.01</v>
      </c>
      <c r="AC35" s="16">
        <v>0.01</v>
      </c>
      <c r="AD35" s="16">
        <v>0.01</v>
      </c>
    </row>
    <row r="36" spans="2:31" x14ac:dyDescent="0.2">
      <c r="D36" s="14"/>
      <c r="E36" s="14"/>
      <c r="F36" s="14"/>
      <c r="G36" s="14"/>
      <c r="H36" s="14"/>
      <c r="I36" s="14"/>
      <c r="J36" s="14"/>
      <c r="K36" s="14"/>
      <c r="L36" s="14"/>
    </row>
    <row r="37" spans="2:31" x14ac:dyDescent="0.2">
      <c r="B37" s="23"/>
      <c r="C37" s="23"/>
      <c r="E37" s="24"/>
      <c r="F37" s="24"/>
      <c r="AE37" s="21"/>
    </row>
    <row r="38" spans="2:31" x14ac:dyDescent="0.2">
      <c r="B38" s="9" t="s">
        <v>46</v>
      </c>
      <c r="C38" s="11">
        <v>0.08</v>
      </c>
      <c r="E38" s="10" t="s">
        <v>49</v>
      </c>
      <c r="F38" s="25">
        <v>4.3</v>
      </c>
      <c r="Z38" s="20">
        <v>-0.01</v>
      </c>
    </row>
    <row r="39" spans="2:31" x14ac:dyDescent="0.2">
      <c r="B39" s="9" t="s">
        <v>47</v>
      </c>
      <c r="C39" s="22">
        <f>NPV(C38,M28:AY28)</f>
        <v>401025851.60090333</v>
      </c>
      <c r="E39" s="10" t="s">
        <v>14</v>
      </c>
      <c r="F39" s="12">
        <v>56300000</v>
      </c>
    </row>
    <row r="40" spans="2:31" x14ac:dyDescent="0.2">
      <c r="B40" s="9" t="s">
        <v>48</v>
      </c>
      <c r="C40" s="26">
        <f>C39/F39</f>
        <v>7.1230169023251033</v>
      </c>
      <c r="E40" s="10" t="s">
        <v>50</v>
      </c>
      <c r="F40" s="13">
        <f>F38*F39</f>
        <v>242090000</v>
      </c>
    </row>
    <row r="41" spans="2:31" x14ac:dyDescent="0.2">
      <c r="B41" s="23"/>
      <c r="C41" s="23"/>
      <c r="E41" s="10" t="s">
        <v>51</v>
      </c>
      <c r="F41" s="13">
        <v>50000000</v>
      </c>
    </row>
    <row r="42" spans="2:31" x14ac:dyDescent="0.2">
      <c r="E42" s="10" t="s">
        <v>52</v>
      </c>
      <c r="F42" s="13">
        <v>60000000</v>
      </c>
    </row>
    <row r="43" spans="2:31" x14ac:dyDescent="0.2">
      <c r="E43" s="10" t="s">
        <v>53</v>
      </c>
      <c r="F43" s="10"/>
    </row>
    <row r="44" spans="2:31" x14ac:dyDescent="0.2">
      <c r="E44" s="24"/>
      <c r="F44" s="24"/>
    </row>
    <row r="45" spans="2:31" x14ac:dyDescent="0.2">
      <c r="B45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2023-06-29T00:30:18Z</dcterms:created>
  <dcterms:modified xsi:type="dcterms:W3CDTF">2023-06-29T03:42:07Z</dcterms:modified>
</cp:coreProperties>
</file>