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sonmccall/Desktop/$MODELZ/$TSLA/"/>
    </mc:Choice>
  </mc:AlternateContent>
  <xr:revisionPtr revIDLastSave="0" documentId="13_ncr:1_{FD6D8E4C-E669-4546-B8E2-EDD80483F5CF}" xr6:coauthVersionLast="45" xr6:coauthVersionMax="45" xr10:uidLastSave="{00000000-0000-0000-0000-000000000000}"/>
  <bookViews>
    <workbookView xWindow="1240" yWindow="660" windowWidth="30400" windowHeight="19560" xr2:uid="{24ADC28C-1C18-C441-A23D-C89FD689C4C6}"/>
  </bookViews>
  <sheets>
    <sheet name="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4" i="1" l="1"/>
  <c r="Q44" i="1"/>
  <c r="T44" i="1"/>
  <c r="S44" i="1"/>
  <c r="R44" i="1"/>
  <c r="T43" i="1"/>
  <c r="S43" i="1"/>
  <c r="R43" i="1"/>
  <c r="Q43" i="1"/>
  <c r="T42" i="1"/>
  <c r="S42" i="1"/>
  <c r="R42" i="1"/>
  <c r="Q42" i="1"/>
  <c r="T38" i="1"/>
  <c r="S38" i="1"/>
  <c r="R38" i="1"/>
  <c r="Q38" i="1"/>
  <c r="S37" i="1"/>
  <c r="T37" i="1" s="1"/>
  <c r="U37" i="1" s="1"/>
  <c r="V37" i="1" s="1"/>
  <c r="W37" i="1" s="1"/>
  <c r="X37" i="1" s="1"/>
  <c r="Y37" i="1" s="1"/>
  <c r="Z37" i="1" s="1"/>
  <c r="AA37" i="1" s="1"/>
  <c r="AB37" i="1" s="1"/>
  <c r="AC37" i="1" s="1"/>
  <c r="AD37" i="1" s="1"/>
  <c r="AE37" i="1" s="1"/>
  <c r="AF37" i="1" s="1"/>
  <c r="AG37" i="1" s="1"/>
  <c r="AH37" i="1" s="1"/>
  <c r="R37" i="1"/>
  <c r="Q37" i="1"/>
  <c r="P63" i="1"/>
  <c r="O63" i="1"/>
  <c r="N63" i="1"/>
  <c r="M63" i="1"/>
  <c r="L63" i="1"/>
  <c r="K63" i="1"/>
  <c r="J63" i="1"/>
  <c r="I63" i="1"/>
  <c r="S28" i="1"/>
  <c r="T28" i="1" s="1"/>
  <c r="U28" i="1" s="1"/>
  <c r="V28" i="1" s="1"/>
  <c r="W28" i="1" s="1"/>
  <c r="X28" i="1" s="1"/>
  <c r="Y28" i="1" s="1"/>
  <c r="Z28" i="1" s="1"/>
  <c r="AA28" i="1" s="1"/>
  <c r="AB28" i="1" s="1"/>
  <c r="AC28" i="1" s="1"/>
  <c r="AD28" i="1" s="1"/>
  <c r="AE28" i="1" s="1"/>
  <c r="AF28" i="1" s="1"/>
  <c r="AG28" i="1" s="1"/>
  <c r="AH28" i="1" s="1"/>
  <c r="R28" i="1"/>
  <c r="Q28" i="1"/>
  <c r="P62" i="1"/>
  <c r="O62" i="1"/>
  <c r="N62" i="1"/>
  <c r="M62" i="1"/>
  <c r="L62" i="1"/>
  <c r="K62" i="1"/>
  <c r="J62" i="1"/>
  <c r="I62" i="1"/>
  <c r="P61" i="1"/>
  <c r="O61" i="1"/>
  <c r="N61" i="1"/>
  <c r="M61" i="1"/>
  <c r="L61" i="1"/>
  <c r="K61" i="1"/>
  <c r="J61" i="1"/>
  <c r="I61" i="1"/>
  <c r="Q32" i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AE32" i="1" s="1"/>
  <c r="AF32" i="1" s="1"/>
  <c r="AG32" i="1" s="1"/>
  <c r="AH32" i="1" s="1"/>
  <c r="Q30" i="1"/>
  <c r="R30" i="1" s="1"/>
  <c r="S30" i="1" s="1"/>
  <c r="T30" i="1" s="1"/>
  <c r="U30" i="1" s="1"/>
  <c r="V30" i="1" s="1"/>
  <c r="W30" i="1" s="1"/>
  <c r="X30" i="1" s="1"/>
  <c r="Y30" i="1" s="1"/>
  <c r="Z30" i="1" s="1"/>
  <c r="AA30" i="1" s="1"/>
  <c r="AB30" i="1" s="1"/>
  <c r="AC30" i="1" s="1"/>
  <c r="AD30" i="1" s="1"/>
  <c r="AE30" i="1" s="1"/>
  <c r="AF30" i="1" s="1"/>
  <c r="AG30" i="1" s="1"/>
  <c r="AH30" i="1" s="1"/>
  <c r="Q31" i="1"/>
  <c r="R31" i="1" s="1"/>
  <c r="S31" i="1" s="1"/>
  <c r="T31" i="1" s="1"/>
  <c r="U31" i="1" s="1"/>
  <c r="V31" i="1" s="1"/>
  <c r="W31" i="1" s="1"/>
  <c r="X31" i="1" s="1"/>
  <c r="Y31" i="1" s="1"/>
  <c r="Z31" i="1" s="1"/>
  <c r="AA31" i="1" s="1"/>
  <c r="AB31" i="1" s="1"/>
  <c r="AC31" i="1" s="1"/>
  <c r="AD31" i="1" s="1"/>
  <c r="AE31" i="1" s="1"/>
  <c r="AF31" i="1" s="1"/>
  <c r="AG31" i="1" s="1"/>
  <c r="AH31" i="1" s="1"/>
  <c r="Q29" i="1"/>
  <c r="P59" i="1"/>
  <c r="O59" i="1"/>
  <c r="N59" i="1"/>
  <c r="M59" i="1"/>
  <c r="L59" i="1"/>
  <c r="P58" i="1"/>
  <c r="O58" i="1"/>
  <c r="N58" i="1"/>
  <c r="M58" i="1"/>
  <c r="L58" i="1"/>
  <c r="K58" i="1"/>
  <c r="J58" i="1"/>
  <c r="P57" i="1"/>
  <c r="O57" i="1"/>
  <c r="N57" i="1"/>
  <c r="M57" i="1"/>
  <c r="L57" i="1"/>
  <c r="K57" i="1"/>
  <c r="J57" i="1"/>
  <c r="P56" i="1"/>
  <c r="O56" i="1"/>
  <c r="N56" i="1"/>
  <c r="M56" i="1"/>
  <c r="L56" i="1"/>
  <c r="K56" i="1"/>
  <c r="J56" i="1"/>
  <c r="I56" i="1"/>
  <c r="P54" i="1"/>
  <c r="O54" i="1"/>
  <c r="N54" i="1"/>
  <c r="M54" i="1"/>
  <c r="L54" i="1"/>
  <c r="K54" i="1"/>
  <c r="P53" i="1"/>
  <c r="O53" i="1"/>
  <c r="N53" i="1"/>
  <c r="M53" i="1"/>
  <c r="L53" i="1"/>
  <c r="K53" i="1"/>
  <c r="J53" i="1"/>
  <c r="P52" i="1"/>
  <c r="O52" i="1"/>
  <c r="N52" i="1"/>
  <c r="M52" i="1"/>
  <c r="L52" i="1"/>
  <c r="K52" i="1"/>
  <c r="J52" i="1"/>
  <c r="I52" i="1"/>
  <c r="Q33" i="1" l="1"/>
  <c r="R29" i="1"/>
  <c r="Q34" i="1"/>
  <c r="Q49" i="1" s="1"/>
  <c r="P28" i="1"/>
  <c r="O28" i="1"/>
  <c r="O48" i="1" s="1"/>
  <c r="N37" i="1"/>
  <c r="M37" i="1"/>
  <c r="L37" i="1"/>
  <c r="P33" i="1"/>
  <c r="O33" i="1"/>
  <c r="N33" i="1"/>
  <c r="M33" i="1"/>
  <c r="L33" i="1"/>
  <c r="K33" i="1"/>
  <c r="J33" i="1"/>
  <c r="I33" i="1"/>
  <c r="K28" i="1"/>
  <c r="K34" i="1" s="1"/>
  <c r="K49" i="1" s="1"/>
  <c r="N28" i="1"/>
  <c r="M28" i="1"/>
  <c r="M48" i="1" s="1"/>
  <c r="L28" i="1"/>
  <c r="J28" i="1"/>
  <c r="J48" i="1" s="1"/>
  <c r="I28" i="1"/>
  <c r="T45" i="1"/>
  <c r="S45" i="1"/>
  <c r="R45" i="1"/>
  <c r="Q45" i="1"/>
  <c r="P20" i="1"/>
  <c r="O20" i="1"/>
  <c r="N20" i="1"/>
  <c r="M20" i="1"/>
  <c r="L20" i="1"/>
  <c r="K20" i="1"/>
  <c r="J20" i="1"/>
  <c r="I20" i="1"/>
  <c r="H20" i="1"/>
  <c r="G20" i="1"/>
  <c r="F20" i="1"/>
  <c r="P37" i="1"/>
  <c r="O37" i="1"/>
  <c r="K37" i="1"/>
  <c r="J37" i="1"/>
  <c r="I37" i="1"/>
  <c r="H37" i="1"/>
  <c r="G37" i="1"/>
  <c r="F37" i="1"/>
  <c r="E37" i="1"/>
  <c r="D37" i="1"/>
  <c r="C37" i="1"/>
  <c r="H33" i="1"/>
  <c r="G33" i="1"/>
  <c r="F33" i="1"/>
  <c r="E33" i="1"/>
  <c r="D33" i="1"/>
  <c r="C33" i="1"/>
  <c r="D28" i="1"/>
  <c r="H28" i="1"/>
  <c r="H48" i="1" s="1"/>
  <c r="G28" i="1"/>
  <c r="F28" i="1"/>
  <c r="E28" i="1"/>
  <c r="C28" i="1"/>
  <c r="C34" i="1" s="1"/>
  <c r="AX17" i="1"/>
  <c r="AV17" i="1"/>
  <c r="AT17" i="1"/>
  <c r="AR17" i="1"/>
  <c r="AP17" i="1"/>
  <c r="AN17" i="1"/>
  <c r="AL17" i="1"/>
  <c r="AH17" i="1"/>
  <c r="AD17" i="1"/>
  <c r="Z17" i="1"/>
  <c r="V17" i="1"/>
  <c r="R17" i="1"/>
  <c r="N17" i="1"/>
  <c r="G13" i="1"/>
  <c r="G17" i="1" s="1"/>
  <c r="AX16" i="1"/>
  <c r="AV16" i="1"/>
  <c r="AT16" i="1"/>
  <c r="AR16" i="1"/>
  <c r="AP16" i="1"/>
  <c r="AN16" i="1"/>
  <c r="AL16" i="1"/>
  <c r="AJ16" i="1"/>
  <c r="AH16" i="1"/>
  <c r="AD16" i="1"/>
  <c r="Z16" i="1"/>
  <c r="V16" i="1"/>
  <c r="R16" i="1"/>
  <c r="N16" i="1"/>
  <c r="G16" i="1"/>
  <c r="AY13" i="1"/>
  <c r="AY16" i="1" s="1"/>
  <c r="AX13" i="1"/>
  <c r="AW13" i="1"/>
  <c r="AW17" i="1" s="1"/>
  <c r="AV13" i="1"/>
  <c r="AU13" i="1"/>
  <c r="AU16" i="1" s="1"/>
  <c r="AT13" i="1"/>
  <c r="AS13" i="1"/>
  <c r="AS17" i="1" s="1"/>
  <c r="AR13" i="1"/>
  <c r="AQ13" i="1"/>
  <c r="AQ16" i="1" s="1"/>
  <c r="AP13" i="1"/>
  <c r="AO13" i="1"/>
  <c r="AO17" i="1" s="1"/>
  <c r="AN13" i="1"/>
  <c r="AM13" i="1"/>
  <c r="AM16" i="1" s="1"/>
  <c r="AL13" i="1"/>
  <c r="AK13" i="1"/>
  <c r="AK17" i="1" s="1"/>
  <c r="AJ13" i="1"/>
  <c r="AI13" i="1"/>
  <c r="AI16" i="1" s="1"/>
  <c r="AH13" i="1"/>
  <c r="AG13" i="1"/>
  <c r="AG17" i="1" s="1"/>
  <c r="AF13" i="1"/>
  <c r="AJ17" i="1" s="1"/>
  <c r="AE13" i="1"/>
  <c r="AE16" i="1" s="1"/>
  <c r="AD13" i="1"/>
  <c r="AC13" i="1"/>
  <c r="AC17" i="1" s="1"/>
  <c r="AB13" i="1"/>
  <c r="AB17" i="1" s="1"/>
  <c r="AA13" i="1"/>
  <c r="AA16" i="1" s="1"/>
  <c r="Z13" i="1"/>
  <c r="Y13" i="1"/>
  <c r="Y17" i="1" s="1"/>
  <c r="X13" i="1"/>
  <c r="X17" i="1" s="1"/>
  <c r="W13" i="1"/>
  <c r="W16" i="1" s="1"/>
  <c r="V13" i="1"/>
  <c r="U13" i="1"/>
  <c r="U17" i="1" s="1"/>
  <c r="T13" i="1"/>
  <c r="T17" i="1" s="1"/>
  <c r="S13" i="1"/>
  <c r="S16" i="1" s="1"/>
  <c r="R13" i="1"/>
  <c r="Q13" i="1"/>
  <c r="Q17" i="1" s="1"/>
  <c r="P13" i="1"/>
  <c r="P17" i="1" s="1"/>
  <c r="O13" i="1"/>
  <c r="O16" i="1" s="1"/>
  <c r="N13" i="1"/>
  <c r="M13" i="1"/>
  <c r="M17" i="1" s="1"/>
  <c r="L13" i="1"/>
  <c r="L17" i="1" s="1"/>
  <c r="K13" i="1"/>
  <c r="K17" i="1" s="1"/>
  <c r="J13" i="1"/>
  <c r="J16" i="1" s="1"/>
  <c r="I13" i="1"/>
  <c r="I17" i="1" s="1"/>
  <c r="H13" i="1"/>
  <c r="H16" i="1" s="1"/>
  <c r="F13" i="1"/>
  <c r="J17" i="1" s="1"/>
  <c r="E13" i="1"/>
  <c r="D13" i="1"/>
  <c r="C13" i="1"/>
  <c r="F14" i="1" s="1"/>
  <c r="S29" i="1" l="1"/>
  <c r="R33" i="1"/>
  <c r="R34" i="1" s="1"/>
  <c r="R49" i="1" s="1"/>
  <c r="C49" i="1"/>
  <c r="C38" i="1"/>
  <c r="C42" i="1" s="1"/>
  <c r="C44" i="1" s="1"/>
  <c r="F34" i="1"/>
  <c r="F49" i="1" s="1"/>
  <c r="F48" i="1"/>
  <c r="J14" i="1"/>
  <c r="Z14" i="1"/>
  <c r="AT14" i="1"/>
  <c r="I16" i="1"/>
  <c r="P16" i="1"/>
  <c r="T16" i="1"/>
  <c r="X16" i="1"/>
  <c r="AB16" i="1"/>
  <c r="AF16" i="1"/>
  <c r="D48" i="1"/>
  <c r="D34" i="1"/>
  <c r="D49" i="1" s="1"/>
  <c r="N14" i="1"/>
  <c r="AD14" i="1"/>
  <c r="AX14" i="1"/>
  <c r="Q16" i="1"/>
  <c r="U16" i="1"/>
  <c r="Y16" i="1"/>
  <c r="AC16" i="1"/>
  <c r="AG16" i="1"/>
  <c r="AK16" i="1"/>
  <c r="AO16" i="1"/>
  <c r="AS16" i="1"/>
  <c r="AW16" i="1"/>
  <c r="O17" i="1"/>
  <c r="S17" i="1"/>
  <c r="W17" i="1"/>
  <c r="AA17" i="1"/>
  <c r="AE17" i="1"/>
  <c r="AI17" i="1"/>
  <c r="AM17" i="1"/>
  <c r="AQ17" i="1"/>
  <c r="AU17" i="1"/>
  <c r="AY17" i="1"/>
  <c r="G48" i="1"/>
  <c r="F38" i="1"/>
  <c r="F42" i="1" s="1"/>
  <c r="F44" i="1" s="1"/>
  <c r="F45" i="1" s="1"/>
  <c r="I34" i="1"/>
  <c r="I49" i="1" s="1"/>
  <c r="I48" i="1"/>
  <c r="N48" i="1"/>
  <c r="R14" i="1"/>
  <c r="AH14" i="1"/>
  <c r="H17" i="1"/>
  <c r="AF17" i="1"/>
  <c r="K48" i="1"/>
  <c r="V14" i="1"/>
  <c r="AL14" i="1"/>
  <c r="E34" i="1"/>
  <c r="E49" i="1" s="1"/>
  <c r="E48" i="1"/>
  <c r="J34" i="1"/>
  <c r="L48" i="1"/>
  <c r="P48" i="1"/>
  <c r="P34" i="1"/>
  <c r="P49" i="1" s="1"/>
  <c r="O34" i="1"/>
  <c r="E38" i="1"/>
  <c r="E42" i="1" s="1"/>
  <c r="E44" i="1" s="1"/>
  <c r="P38" i="1"/>
  <c r="P42" i="1" s="1"/>
  <c r="N34" i="1"/>
  <c r="L34" i="1"/>
  <c r="K38" i="1"/>
  <c r="K42" i="1" s="1"/>
  <c r="K44" i="1" s="1"/>
  <c r="M34" i="1"/>
  <c r="H34" i="1"/>
  <c r="G34" i="1"/>
  <c r="AP14" i="1"/>
  <c r="T29" i="1" l="1"/>
  <c r="S33" i="1"/>
  <c r="S34" i="1" s="1"/>
  <c r="S49" i="1" s="1"/>
  <c r="M38" i="1"/>
  <c r="M42" i="1" s="1"/>
  <c r="M44" i="1" s="1"/>
  <c r="M49" i="1"/>
  <c r="P44" i="1"/>
  <c r="P50" i="1"/>
  <c r="J38" i="1"/>
  <c r="J42" i="1" s="1"/>
  <c r="J44" i="1" s="1"/>
  <c r="J49" i="1"/>
  <c r="G38" i="1"/>
  <c r="G42" i="1" s="1"/>
  <c r="G44" i="1" s="1"/>
  <c r="G45" i="1" s="1"/>
  <c r="G49" i="1"/>
  <c r="I38" i="1"/>
  <c r="I42" i="1" s="1"/>
  <c r="I44" i="1" s="1"/>
  <c r="H38" i="1"/>
  <c r="H42" i="1" s="1"/>
  <c r="H44" i="1" s="1"/>
  <c r="H45" i="1" s="1"/>
  <c r="H49" i="1"/>
  <c r="L38" i="1"/>
  <c r="L42" i="1" s="1"/>
  <c r="L44" i="1" s="1"/>
  <c r="L49" i="1"/>
  <c r="N38" i="1"/>
  <c r="N42" i="1" s="1"/>
  <c r="N49" i="1"/>
  <c r="O38" i="1"/>
  <c r="O42" i="1" s="1"/>
  <c r="O49" i="1"/>
  <c r="D38" i="1"/>
  <c r="D42" i="1" s="1"/>
  <c r="D44" i="1" s="1"/>
  <c r="U29" i="1" l="1"/>
  <c r="T33" i="1"/>
  <c r="T34" i="1" s="1"/>
  <c r="T49" i="1" s="1"/>
  <c r="O44" i="1"/>
  <c r="O50" i="1"/>
  <c r="N44" i="1"/>
  <c r="N50" i="1"/>
  <c r="V29" i="1" l="1"/>
  <c r="U33" i="1"/>
  <c r="U34" i="1" s="1"/>
  <c r="U49" i="1" l="1"/>
  <c r="U38" i="1"/>
  <c r="U42" i="1" s="1"/>
  <c r="W29" i="1"/>
  <c r="V33" i="1"/>
  <c r="V34" i="1" s="1"/>
  <c r="U43" i="1" l="1"/>
  <c r="U44" i="1" s="1"/>
  <c r="V49" i="1"/>
  <c r="V38" i="1"/>
  <c r="V42" i="1" s="1"/>
  <c r="X29" i="1"/>
  <c r="W33" i="1"/>
  <c r="W34" i="1" s="1"/>
  <c r="U45" i="1" l="1"/>
  <c r="V43" i="1"/>
  <c r="V44" i="1" s="1"/>
  <c r="W49" i="1"/>
  <c r="W38" i="1"/>
  <c r="W42" i="1" s="1"/>
  <c r="Y29" i="1"/>
  <c r="X33" i="1"/>
  <c r="X34" i="1" s="1"/>
  <c r="V45" i="1" l="1"/>
  <c r="X49" i="1"/>
  <c r="X38" i="1"/>
  <c r="X42" i="1" s="1"/>
  <c r="W43" i="1"/>
  <c r="W44" i="1"/>
  <c r="W45" i="1" s="1"/>
  <c r="Z29" i="1"/>
  <c r="Y33" i="1"/>
  <c r="Y34" i="1" s="1"/>
  <c r="Y49" i="1" l="1"/>
  <c r="Y38" i="1"/>
  <c r="Y42" i="1" s="1"/>
  <c r="X43" i="1"/>
  <c r="X44" i="1" s="1"/>
  <c r="AA29" i="1"/>
  <c r="Z33" i="1"/>
  <c r="Z34" i="1" s="1"/>
  <c r="X45" i="1" l="1"/>
  <c r="Z49" i="1"/>
  <c r="Z38" i="1"/>
  <c r="Z42" i="1" s="1"/>
  <c r="Y43" i="1"/>
  <c r="Y44" i="1"/>
  <c r="Y45" i="1" s="1"/>
  <c r="AB29" i="1"/>
  <c r="AA33" i="1"/>
  <c r="AA34" i="1" s="1"/>
  <c r="AA49" i="1" l="1"/>
  <c r="AA38" i="1"/>
  <c r="AA42" i="1" s="1"/>
  <c r="Z43" i="1"/>
  <c r="Z44" i="1" s="1"/>
  <c r="AC29" i="1"/>
  <c r="AB33" i="1"/>
  <c r="AB34" i="1" s="1"/>
  <c r="Z45" i="1" l="1"/>
  <c r="AB49" i="1"/>
  <c r="AB38" i="1"/>
  <c r="AB42" i="1" s="1"/>
  <c r="AA43" i="1"/>
  <c r="AA44" i="1" s="1"/>
  <c r="AA45" i="1" s="1"/>
  <c r="AD29" i="1"/>
  <c r="AC33" i="1"/>
  <c r="AC34" i="1" s="1"/>
  <c r="AC49" i="1" l="1"/>
  <c r="AC38" i="1"/>
  <c r="AC42" i="1" s="1"/>
  <c r="AB43" i="1"/>
  <c r="AB44" i="1" s="1"/>
  <c r="AB45" i="1" s="1"/>
  <c r="AE29" i="1"/>
  <c r="AD33" i="1"/>
  <c r="AD34" i="1" s="1"/>
  <c r="AD49" i="1" l="1"/>
  <c r="AD38" i="1"/>
  <c r="AD42" i="1" s="1"/>
  <c r="AC43" i="1"/>
  <c r="AC44" i="1" s="1"/>
  <c r="AC45" i="1" s="1"/>
  <c r="AF29" i="1"/>
  <c r="AE33" i="1"/>
  <c r="AE34" i="1" s="1"/>
  <c r="AE49" i="1" l="1"/>
  <c r="AE38" i="1"/>
  <c r="AE42" i="1" s="1"/>
  <c r="AD43" i="1"/>
  <c r="AD44" i="1" s="1"/>
  <c r="AD45" i="1" s="1"/>
  <c r="AG29" i="1"/>
  <c r="AF33" i="1"/>
  <c r="AF34" i="1" s="1"/>
  <c r="AF49" i="1" l="1"/>
  <c r="AF38" i="1"/>
  <c r="AF42" i="1" s="1"/>
  <c r="AE43" i="1"/>
  <c r="AE44" i="1" s="1"/>
  <c r="AE45" i="1" s="1"/>
  <c r="AH29" i="1"/>
  <c r="AH33" i="1" s="1"/>
  <c r="AH34" i="1" s="1"/>
  <c r="AG33" i="1"/>
  <c r="AG34" i="1" s="1"/>
  <c r="AG49" i="1" l="1"/>
  <c r="AG38" i="1"/>
  <c r="AG42" i="1" s="1"/>
  <c r="AF43" i="1"/>
  <c r="AF44" i="1" s="1"/>
  <c r="AF45" i="1" s="1"/>
  <c r="AH49" i="1"/>
  <c r="AH38" i="1"/>
  <c r="AH42" i="1" s="1"/>
  <c r="AH43" i="1" l="1"/>
  <c r="AH44" i="1" s="1"/>
  <c r="AG43" i="1"/>
  <c r="AG44" i="1" s="1"/>
  <c r="AG45" i="1" s="1"/>
  <c r="AI44" i="1" l="1"/>
  <c r="AJ44" i="1" s="1"/>
  <c r="AK44" i="1" s="1"/>
  <c r="AL44" i="1" s="1"/>
  <c r="AM44" i="1" s="1"/>
  <c r="AN44" i="1" s="1"/>
  <c r="AO44" i="1" s="1"/>
  <c r="AP44" i="1" s="1"/>
  <c r="AQ44" i="1" s="1"/>
  <c r="AR44" i="1" s="1"/>
  <c r="AS44" i="1" s="1"/>
  <c r="AT44" i="1" s="1"/>
  <c r="AU44" i="1" s="1"/>
  <c r="AV44" i="1" s="1"/>
  <c r="AW44" i="1" s="1"/>
  <c r="AX44" i="1" s="1"/>
  <c r="AY44" i="1" s="1"/>
  <c r="AZ44" i="1" s="1"/>
  <c r="BA44" i="1" s="1"/>
  <c r="BB44" i="1" s="1"/>
  <c r="BC44" i="1" s="1"/>
  <c r="BD44" i="1" s="1"/>
  <c r="BE44" i="1" s="1"/>
  <c r="BF44" i="1" s="1"/>
  <c r="BG44" i="1" s="1"/>
  <c r="BH44" i="1" s="1"/>
  <c r="BI44" i="1" s="1"/>
  <c r="BJ44" i="1" s="1"/>
  <c r="BK44" i="1" s="1"/>
  <c r="C53" i="1" s="1"/>
  <c r="C54" i="1" s="1"/>
  <c r="AH45" i="1"/>
</calcChain>
</file>

<file path=xl/sharedStrings.xml><?xml version="1.0" encoding="utf-8"?>
<sst xmlns="http://schemas.openxmlformats.org/spreadsheetml/2006/main" count="154" uniqueCount="147">
  <si>
    <t># Car Sales</t>
  </si>
  <si>
    <t>Q1/11</t>
  </si>
  <si>
    <t>Q2/11</t>
  </si>
  <si>
    <t>Q3/11</t>
  </si>
  <si>
    <t>Q4/11</t>
  </si>
  <si>
    <t>Q1/12</t>
  </si>
  <si>
    <t>Q2/12</t>
  </si>
  <si>
    <t>Q3/12</t>
  </si>
  <si>
    <t>Q4/12</t>
  </si>
  <si>
    <t>Q1/13</t>
  </si>
  <si>
    <t>Q1/14</t>
  </si>
  <si>
    <t>Q2/14</t>
  </si>
  <si>
    <t>Q2/13</t>
  </si>
  <si>
    <t>Q3/13</t>
  </si>
  <si>
    <t>Q4/13</t>
  </si>
  <si>
    <t>Q3/14</t>
  </si>
  <si>
    <t>Q4/14</t>
  </si>
  <si>
    <t>Q1/15</t>
  </si>
  <si>
    <t>Q2/15</t>
  </si>
  <si>
    <t>Q3/15</t>
  </si>
  <si>
    <t>Q4/15</t>
  </si>
  <si>
    <t>Q1/16</t>
  </si>
  <si>
    <t>Q2/16</t>
  </si>
  <si>
    <t>Q3/16</t>
  </si>
  <si>
    <t>Q4/16</t>
  </si>
  <si>
    <t>Q1/17</t>
  </si>
  <si>
    <t>Q2/17</t>
  </si>
  <si>
    <t>Q3/17</t>
  </si>
  <si>
    <t>Q4/17</t>
  </si>
  <si>
    <t>Q1/18</t>
  </si>
  <si>
    <t>Q2/18</t>
  </si>
  <si>
    <t>Q3/18</t>
  </si>
  <si>
    <t>Q4/18</t>
  </si>
  <si>
    <t>Q1/19</t>
  </si>
  <si>
    <t>Q2/19</t>
  </si>
  <si>
    <t>Q3/19</t>
  </si>
  <si>
    <t>Q4/19</t>
  </si>
  <si>
    <t>Q1/20</t>
  </si>
  <si>
    <t>Q2/20</t>
  </si>
  <si>
    <t>Q3/20</t>
  </si>
  <si>
    <t>Q4/20</t>
  </si>
  <si>
    <t>Q1/21</t>
  </si>
  <si>
    <t>Q2/21</t>
  </si>
  <si>
    <t>Q3/21</t>
  </si>
  <si>
    <t>Q4/21</t>
  </si>
  <si>
    <t>Q1/22</t>
  </si>
  <si>
    <t>Q2/22</t>
  </si>
  <si>
    <t>Q3/22</t>
  </si>
  <si>
    <t>Q4/22</t>
  </si>
  <si>
    <t>Q1/23</t>
  </si>
  <si>
    <t>Q2/23</t>
  </si>
  <si>
    <t>Q3/23</t>
  </si>
  <si>
    <t>Q4/23</t>
  </si>
  <si>
    <t>Roadster</t>
  </si>
  <si>
    <t xml:space="preserve">Model S </t>
  </si>
  <si>
    <t>Model X</t>
  </si>
  <si>
    <t>Model 3</t>
  </si>
  <si>
    <t>Model Y</t>
  </si>
  <si>
    <t xml:space="preserve">Cybertruck </t>
  </si>
  <si>
    <t>Semi</t>
  </si>
  <si>
    <t>Total Sold End Year</t>
  </si>
  <si>
    <t>n/a</t>
  </si>
  <si>
    <t xml:space="preserve">Produced </t>
  </si>
  <si>
    <t>Inventory</t>
  </si>
  <si>
    <t>Q Sales y/y</t>
  </si>
  <si>
    <t>Q Sold</t>
  </si>
  <si>
    <t>F2020</t>
  </si>
  <si>
    <t>F2009</t>
  </si>
  <si>
    <t>F2010</t>
  </si>
  <si>
    <t>F2011</t>
  </si>
  <si>
    <t>F2012</t>
  </si>
  <si>
    <t>F2013</t>
  </si>
  <si>
    <t>F2014</t>
  </si>
  <si>
    <t>F2015</t>
  </si>
  <si>
    <t>F2016</t>
  </si>
  <si>
    <t>F2017</t>
  </si>
  <si>
    <t>F2018</t>
  </si>
  <si>
    <t>F2019</t>
  </si>
  <si>
    <t>F2021</t>
  </si>
  <si>
    <t>F2022</t>
  </si>
  <si>
    <t>F2023</t>
  </si>
  <si>
    <t>F2024</t>
  </si>
  <si>
    <t>F2025</t>
  </si>
  <si>
    <t>F2026</t>
  </si>
  <si>
    <t>F2027</t>
  </si>
  <si>
    <t>F2028</t>
  </si>
  <si>
    <t>F2029</t>
  </si>
  <si>
    <t>F2030</t>
  </si>
  <si>
    <t>F2031</t>
  </si>
  <si>
    <t>F2032</t>
  </si>
  <si>
    <t>F2033</t>
  </si>
  <si>
    <t>F2034</t>
  </si>
  <si>
    <t>F2035</t>
  </si>
  <si>
    <t>F2036</t>
  </si>
  <si>
    <t>F2037</t>
  </si>
  <si>
    <t>F2038</t>
  </si>
  <si>
    <t>F2039</t>
  </si>
  <si>
    <t>F2040</t>
  </si>
  <si>
    <t>Auto Sales</t>
  </si>
  <si>
    <t>Total Rev</t>
  </si>
  <si>
    <t>COS</t>
  </si>
  <si>
    <t>COGS</t>
  </si>
  <si>
    <t>Gross Profit</t>
  </si>
  <si>
    <t>R&amp;D</t>
  </si>
  <si>
    <t>SG&amp;A</t>
  </si>
  <si>
    <t>Op Ex</t>
  </si>
  <si>
    <t>Intrest Income</t>
  </si>
  <si>
    <t>Intrest Expense</t>
  </si>
  <si>
    <t>Other Expenses, Net</t>
  </si>
  <si>
    <t>Pre Tax</t>
  </si>
  <si>
    <t>Tax</t>
  </si>
  <si>
    <t>Net Income</t>
  </si>
  <si>
    <t>EPS</t>
  </si>
  <si>
    <t xml:space="preserve">Shares Outstanding </t>
  </si>
  <si>
    <t>Op Income</t>
  </si>
  <si>
    <t>Cars Sold End Year</t>
  </si>
  <si>
    <t>y/y</t>
  </si>
  <si>
    <t xml:space="preserve">Services </t>
  </si>
  <si>
    <t>Auto Leasing</t>
  </si>
  <si>
    <t>Energy Generation &amp; Storage</t>
  </si>
  <si>
    <t>Cost of Leasing</t>
  </si>
  <si>
    <t>Cost of Energy/Storage</t>
  </si>
  <si>
    <t>Cost of Services &amp; Other</t>
  </si>
  <si>
    <t>Auto Credits</t>
  </si>
  <si>
    <t>Rev y/y</t>
  </si>
  <si>
    <t>Gross Margin</t>
  </si>
  <si>
    <t>Tax Rate</t>
  </si>
  <si>
    <t>Discount</t>
  </si>
  <si>
    <t>NPV</t>
  </si>
  <si>
    <t>Share</t>
  </si>
  <si>
    <t>Price</t>
  </si>
  <si>
    <t>Shares</t>
  </si>
  <si>
    <t>MC</t>
  </si>
  <si>
    <t>Cash</t>
  </si>
  <si>
    <t>Debt</t>
  </si>
  <si>
    <t>EV</t>
  </si>
  <si>
    <t>auto rev y/y</t>
  </si>
  <si>
    <t>services rev y/y</t>
  </si>
  <si>
    <t>energy &amp; storage y/y</t>
  </si>
  <si>
    <t>c of auto y/y</t>
  </si>
  <si>
    <t>c of leasing y/y</t>
  </si>
  <si>
    <t>c of services y/y</t>
  </si>
  <si>
    <t xml:space="preserve">c of e&amp;s y/y </t>
  </si>
  <si>
    <t>r&amp;d y/y</t>
  </si>
  <si>
    <t>sg&amp;a y/y</t>
  </si>
  <si>
    <t>r&amp;d + sg&amp;a y/y</t>
  </si>
  <si>
    <t xml:space="preserve">Terminal Net Income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</si>
</sst>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0" fillId="3" borderId="0" xfId="0" applyFill="1"/>
    <xf numFmtId="9" fontId="0" fillId="0" borderId="0" xfId="3" applyFont="1"/>
    <xf numFmtId="0" fontId="0" fillId="4" borderId="0" xfId="0" applyFill="1"/>
    <xf numFmtId="0" fontId="0" fillId="0" borderId="0" xfId="0" applyAlignment="1">
      <alignment horizontal="left"/>
    </xf>
    <xf numFmtId="0" fontId="3" fillId="0" borderId="0" xfId="1" applyNumberFormat="1" applyFont="1"/>
    <xf numFmtId="9" fontId="0" fillId="3" borderId="0" xfId="3" applyFont="1" applyFill="1"/>
    <xf numFmtId="0" fontId="2" fillId="2" borderId="0" xfId="0" applyFont="1" applyFill="1"/>
    <xf numFmtId="0" fontId="2" fillId="0" borderId="0" xfId="0" applyFont="1"/>
    <xf numFmtId="0" fontId="2" fillId="4" borderId="0" xfId="0" applyFont="1" applyFill="1"/>
    <xf numFmtId="0" fontId="0" fillId="0" borderId="0" xfId="0" applyFont="1"/>
    <xf numFmtId="44" fontId="0" fillId="0" borderId="0" xfId="2" applyFont="1"/>
    <xf numFmtId="44" fontId="0" fillId="0" borderId="0" xfId="0" applyNumberFormat="1"/>
    <xf numFmtId="44" fontId="2" fillId="0" borderId="0" xfId="0" applyNumberFormat="1" applyFont="1"/>
    <xf numFmtId="44" fontId="2" fillId="0" borderId="0" xfId="2" applyFont="1"/>
    <xf numFmtId="44" fontId="2" fillId="4" borderId="0" xfId="0" applyNumberFormat="1" applyFont="1" applyFill="1"/>
    <xf numFmtId="43" fontId="0" fillId="0" borderId="0" xfId="1" applyFont="1"/>
    <xf numFmtId="0" fontId="2" fillId="0" borderId="0" xfId="0" applyFont="1" applyFill="1"/>
    <xf numFmtId="0" fontId="0" fillId="0" borderId="0" xfId="0" applyFill="1"/>
    <xf numFmtId="0" fontId="0" fillId="0" borderId="0" xfId="0" applyFill="1" applyAlignment="1">
      <alignment horizontal="center" vertical="center"/>
    </xf>
    <xf numFmtId="9" fontId="0" fillId="0" borderId="0" xfId="3" applyFont="1" applyFill="1"/>
    <xf numFmtId="0" fontId="0" fillId="0" borderId="0" xfId="0" applyAlignment="1">
      <alignment horizontal="right"/>
    </xf>
    <xf numFmtId="0" fontId="0" fillId="5" borderId="0" xfId="0" applyFill="1"/>
    <xf numFmtId="9" fontId="0" fillId="5" borderId="0" xfId="0" applyNumberFormat="1" applyFill="1"/>
    <xf numFmtId="44" fontId="0" fillId="2" borderId="0" xfId="2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0" applyNumberFormat="1"/>
    <xf numFmtId="9" fontId="0" fillId="6" borderId="0" xfId="0" applyNumberFormat="1" applyFill="1"/>
    <xf numFmtId="43" fontId="0" fillId="2" borderId="0" xfId="1" applyFont="1" applyFill="1"/>
    <xf numFmtId="9" fontId="0" fillId="3" borderId="0" xfId="0" applyNumberFormat="1" applyFill="1"/>
    <xf numFmtId="0" fontId="0" fillId="7" borderId="0" xfId="0" applyFill="1"/>
    <xf numFmtId="9" fontId="0" fillId="7" borderId="0" xfId="0" applyNumberFormat="1" applyFill="1"/>
    <xf numFmtId="8" fontId="0" fillId="3" borderId="0" xfId="0" applyNumberFormat="1" applyFill="1"/>
    <xf numFmtId="44" fontId="0" fillId="3" borderId="0" xfId="2" applyFont="1" applyFill="1"/>
    <xf numFmtId="14" fontId="2" fillId="0" borderId="0" xfId="0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18</xdr:row>
      <xdr:rowOff>127000</xdr:rowOff>
    </xdr:from>
    <xdr:to>
      <xdr:col>16</xdr:col>
      <xdr:colOff>0</xdr:colOff>
      <xdr:row>62</xdr:row>
      <xdr:rowOff>190500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0352E83-A3E6-EB41-8673-88BD84D8E905}"/>
            </a:ext>
          </a:extLst>
        </xdr:cNvPr>
        <xdr:cNvCxnSpPr/>
      </xdr:nvCxnSpPr>
      <xdr:spPr>
        <a:xfrm>
          <a:off x="21945600" y="3784600"/>
          <a:ext cx="0" cy="9004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4D849-FB89-2048-8CD4-C88EF1BE9B21}">
  <dimension ref="B2:BK63"/>
  <sheetViews>
    <sheetView tabSelected="1" topLeftCell="A6" workbookViewId="0">
      <selection activeCell="B64" sqref="B64"/>
    </sheetView>
  </sheetViews>
  <sheetFormatPr baseColWidth="10" defaultRowHeight="16" x14ac:dyDescent="0.2"/>
  <cols>
    <col min="2" max="2" width="27" customWidth="1"/>
    <col min="3" max="3" width="19" bestFit="1" customWidth="1"/>
    <col min="4" max="4" width="16.83203125" bestFit="1" customWidth="1"/>
    <col min="5" max="5" width="17.83203125" customWidth="1"/>
    <col min="6" max="6" width="19.6640625" bestFit="1" customWidth="1"/>
    <col min="7" max="7" width="17.83203125" bestFit="1" customWidth="1"/>
    <col min="8" max="8" width="18.33203125" customWidth="1"/>
    <col min="9" max="10" width="17.6640625" bestFit="1" customWidth="1"/>
    <col min="11" max="16" width="18.6640625" bestFit="1" customWidth="1"/>
    <col min="17" max="19" width="19.6640625" bestFit="1" customWidth="1"/>
    <col min="20" max="20" width="21.1640625" bestFit="1" customWidth="1"/>
    <col min="21" max="34" width="19.6640625" bestFit="1" customWidth="1"/>
    <col min="35" max="63" width="18.6640625" bestFit="1" customWidth="1"/>
  </cols>
  <sheetData>
    <row r="2" spans="2:54" x14ac:dyDescent="0.2">
      <c r="B2" s="36">
        <v>45036</v>
      </c>
    </row>
    <row r="5" spans="2:54" x14ac:dyDescent="0.2">
      <c r="B5" s="8" t="s">
        <v>0</v>
      </c>
      <c r="C5" s="9" t="s">
        <v>1</v>
      </c>
      <c r="D5" s="9" t="s">
        <v>2</v>
      </c>
      <c r="E5" s="9" t="s">
        <v>3</v>
      </c>
      <c r="F5" s="9" t="s">
        <v>4</v>
      </c>
      <c r="G5" s="9" t="s">
        <v>5</v>
      </c>
      <c r="H5" s="9" t="s">
        <v>6</v>
      </c>
      <c r="I5" s="9" t="s">
        <v>7</v>
      </c>
      <c r="J5" s="9" t="s">
        <v>8</v>
      </c>
      <c r="K5" s="9" t="s">
        <v>9</v>
      </c>
      <c r="L5" s="9" t="s">
        <v>12</v>
      </c>
      <c r="M5" s="9" t="s">
        <v>13</v>
      </c>
      <c r="N5" s="9" t="s">
        <v>14</v>
      </c>
      <c r="O5" s="9" t="s">
        <v>10</v>
      </c>
      <c r="P5" s="9" t="s">
        <v>11</v>
      </c>
      <c r="Q5" s="9" t="s">
        <v>15</v>
      </c>
      <c r="R5" s="9" t="s">
        <v>16</v>
      </c>
      <c r="S5" s="9" t="s">
        <v>17</v>
      </c>
      <c r="T5" s="9" t="s">
        <v>18</v>
      </c>
      <c r="U5" s="9" t="s">
        <v>19</v>
      </c>
      <c r="V5" s="9" t="s">
        <v>20</v>
      </c>
      <c r="W5" s="9" t="s">
        <v>21</v>
      </c>
      <c r="X5" s="9" t="s">
        <v>22</v>
      </c>
      <c r="Y5" s="9" t="s">
        <v>23</v>
      </c>
      <c r="Z5" s="9" t="s">
        <v>24</v>
      </c>
      <c r="AA5" s="9" t="s">
        <v>25</v>
      </c>
      <c r="AB5" s="9" t="s">
        <v>26</v>
      </c>
      <c r="AC5" s="9" t="s">
        <v>27</v>
      </c>
      <c r="AD5" s="9" t="s">
        <v>28</v>
      </c>
      <c r="AE5" s="9" t="s">
        <v>29</v>
      </c>
      <c r="AF5" s="9" t="s">
        <v>30</v>
      </c>
      <c r="AG5" s="9" t="s">
        <v>31</v>
      </c>
      <c r="AH5" s="9" t="s">
        <v>32</v>
      </c>
      <c r="AI5" s="9" t="s">
        <v>33</v>
      </c>
      <c r="AJ5" s="9" t="s">
        <v>34</v>
      </c>
      <c r="AK5" s="9" t="s">
        <v>35</v>
      </c>
      <c r="AL5" s="9" t="s">
        <v>36</v>
      </c>
      <c r="AM5" s="9" t="s">
        <v>37</v>
      </c>
      <c r="AN5" s="9" t="s">
        <v>38</v>
      </c>
      <c r="AO5" s="9" t="s">
        <v>39</v>
      </c>
      <c r="AP5" s="9" t="s">
        <v>40</v>
      </c>
      <c r="AQ5" s="9" t="s">
        <v>41</v>
      </c>
      <c r="AR5" s="9" t="s">
        <v>42</v>
      </c>
      <c r="AS5" s="9" t="s">
        <v>43</v>
      </c>
      <c r="AT5" s="9" t="s">
        <v>44</v>
      </c>
      <c r="AU5" s="9" t="s">
        <v>45</v>
      </c>
      <c r="AV5" s="9" t="s">
        <v>46</v>
      </c>
      <c r="AW5" s="9" t="s">
        <v>47</v>
      </c>
      <c r="AX5" s="9" t="s">
        <v>48</v>
      </c>
      <c r="AY5" s="9" t="s">
        <v>49</v>
      </c>
      <c r="AZ5" s="9" t="s">
        <v>50</v>
      </c>
      <c r="BA5" s="9" t="s">
        <v>51</v>
      </c>
      <c r="BB5" s="9" t="s">
        <v>52</v>
      </c>
    </row>
    <row r="6" spans="2:54" x14ac:dyDescent="0.2">
      <c r="B6" t="s">
        <v>53</v>
      </c>
      <c r="C6">
        <v>145</v>
      </c>
      <c r="D6">
        <v>190</v>
      </c>
      <c r="E6">
        <v>184</v>
      </c>
      <c r="F6">
        <v>150</v>
      </c>
      <c r="G6">
        <v>99</v>
      </c>
      <c r="H6">
        <v>89</v>
      </c>
      <c r="I6">
        <v>68</v>
      </c>
      <c r="J6">
        <v>32</v>
      </c>
    </row>
    <row r="7" spans="2:54" x14ac:dyDescent="0.2">
      <c r="B7" t="s">
        <v>54</v>
      </c>
      <c r="H7">
        <v>29</v>
      </c>
      <c r="I7">
        <v>253</v>
      </c>
      <c r="J7">
        <v>2400</v>
      </c>
      <c r="K7">
        <v>4900</v>
      </c>
      <c r="L7">
        <v>5150</v>
      </c>
      <c r="M7">
        <v>5500</v>
      </c>
      <c r="N7">
        <v>6892</v>
      </c>
      <c r="O7">
        <v>6457</v>
      </c>
      <c r="P7">
        <v>7579</v>
      </c>
      <c r="Q7">
        <v>7785</v>
      </c>
      <c r="R7">
        <v>9834</v>
      </c>
      <c r="S7">
        <v>10045</v>
      </c>
      <c r="T7">
        <v>11532</v>
      </c>
      <c r="U7">
        <v>11597</v>
      </c>
      <c r="V7">
        <v>17272</v>
      </c>
      <c r="W7">
        <v>12420</v>
      </c>
      <c r="X7">
        <v>9764</v>
      </c>
      <c r="Y7">
        <v>16047</v>
      </c>
      <c r="Z7">
        <v>12700</v>
      </c>
      <c r="AA7">
        <v>13450</v>
      </c>
      <c r="AB7">
        <v>12000</v>
      </c>
      <c r="AC7">
        <v>14065</v>
      </c>
      <c r="AD7">
        <v>15200</v>
      </c>
      <c r="AE7">
        <v>11730</v>
      </c>
      <c r="AF7">
        <v>10930</v>
      </c>
      <c r="AG7">
        <v>14470</v>
      </c>
      <c r="AH7">
        <v>13500</v>
      </c>
      <c r="AI7" s="27">
        <v>12100</v>
      </c>
      <c r="AJ7" s="27">
        <v>17650</v>
      </c>
      <c r="AK7" s="27">
        <v>17483</v>
      </c>
      <c r="AL7" s="27">
        <v>19475</v>
      </c>
      <c r="AM7" s="27">
        <v>12230</v>
      </c>
      <c r="AN7" s="27">
        <v>10614</v>
      </c>
      <c r="AO7" s="27">
        <v>15272</v>
      </c>
      <c r="AP7" s="27">
        <v>18966</v>
      </c>
      <c r="AQ7" s="27">
        <v>2030</v>
      </c>
      <c r="AR7" s="27">
        <v>1895</v>
      </c>
      <c r="AS7" s="27">
        <v>9289</v>
      </c>
      <c r="AT7" s="27">
        <v>11766</v>
      </c>
      <c r="AU7" s="27">
        <v>14724</v>
      </c>
      <c r="AV7" s="27">
        <v>16162</v>
      </c>
      <c r="AW7" s="27">
        <v>18672</v>
      </c>
      <c r="AX7" s="27">
        <v>17147</v>
      </c>
      <c r="AY7" s="27">
        <v>10695</v>
      </c>
      <c r="AZ7" s="27"/>
      <c r="BA7" s="27"/>
      <c r="BB7" s="27"/>
    </row>
    <row r="8" spans="2:54" x14ac:dyDescent="0.2">
      <c r="B8" t="s">
        <v>55</v>
      </c>
      <c r="U8">
        <v>6</v>
      </c>
      <c r="V8">
        <v>206</v>
      </c>
      <c r="W8">
        <v>2400</v>
      </c>
      <c r="X8">
        <v>4638</v>
      </c>
      <c r="Y8">
        <v>8774</v>
      </c>
      <c r="Z8">
        <v>9500</v>
      </c>
      <c r="AA8">
        <v>11550</v>
      </c>
      <c r="AB8">
        <v>10000</v>
      </c>
      <c r="AC8">
        <v>11865</v>
      </c>
      <c r="AD8">
        <v>13120</v>
      </c>
      <c r="AE8">
        <v>10070</v>
      </c>
      <c r="AF8">
        <v>11370</v>
      </c>
      <c r="AG8">
        <v>13190</v>
      </c>
      <c r="AH8">
        <v>14050</v>
      </c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</row>
    <row r="9" spans="2:54" x14ac:dyDescent="0.2">
      <c r="B9" t="s">
        <v>56</v>
      </c>
      <c r="AC9">
        <v>222</v>
      </c>
      <c r="AD9">
        <v>1542</v>
      </c>
      <c r="AE9">
        <v>8182</v>
      </c>
      <c r="AF9">
        <v>18440</v>
      </c>
      <c r="AG9">
        <v>56065</v>
      </c>
      <c r="AH9">
        <v>63359</v>
      </c>
      <c r="AI9">
        <v>50900</v>
      </c>
      <c r="AJ9">
        <v>77550</v>
      </c>
      <c r="AK9">
        <v>79703</v>
      </c>
      <c r="AL9">
        <v>92620</v>
      </c>
      <c r="AM9" s="27">
        <v>76266</v>
      </c>
      <c r="AN9" s="26">
        <v>80277</v>
      </c>
      <c r="AO9" s="26">
        <v>124318</v>
      </c>
      <c r="AP9" s="26">
        <v>161701</v>
      </c>
      <c r="AQ9" s="26">
        <v>182847</v>
      </c>
      <c r="AR9" s="26">
        <v>199409</v>
      </c>
      <c r="AS9" s="26">
        <v>232102</v>
      </c>
      <c r="AT9" s="26">
        <v>296884</v>
      </c>
      <c r="AU9" s="26">
        <v>295324</v>
      </c>
      <c r="AV9" s="26">
        <v>238533</v>
      </c>
      <c r="AW9" s="26">
        <v>325158</v>
      </c>
      <c r="AX9" s="26">
        <v>388131</v>
      </c>
      <c r="AY9" s="26">
        <v>412180</v>
      </c>
      <c r="AZ9" s="26"/>
      <c r="BA9" s="26"/>
      <c r="BB9" s="26"/>
    </row>
    <row r="10" spans="2:54" x14ac:dyDescent="0.2">
      <c r="B10" t="s">
        <v>57</v>
      </c>
      <c r="AM10" s="27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</row>
    <row r="11" spans="2:54" x14ac:dyDescent="0.2">
      <c r="B11" t="s">
        <v>58</v>
      </c>
    </row>
    <row r="12" spans="2:54" x14ac:dyDescent="0.2">
      <c r="B12" t="s">
        <v>59</v>
      </c>
    </row>
    <row r="13" spans="2:54" x14ac:dyDescent="0.2">
      <c r="B13" s="2" t="s">
        <v>65</v>
      </c>
      <c r="C13" s="2">
        <f>C6+C7+C8+C9+C10+C11+C12</f>
        <v>145</v>
      </c>
      <c r="D13" s="2">
        <f t="shared" ref="D13:AY13" si="0">D6+D7+D8+D9+D10+D11+D12</f>
        <v>190</v>
      </c>
      <c r="E13" s="2">
        <f t="shared" si="0"/>
        <v>184</v>
      </c>
      <c r="F13" s="2">
        <f t="shared" si="0"/>
        <v>150</v>
      </c>
      <c r="G13" s="2">
        <f>G6+G7+G8+G9+G10+G11+G12</f>
        <v>99</v>
      </c>
      <c r="H13" s="2">
        <f t="shared" si="0"/>
        <v>118</v>
      </c>
      <c r="I13" s="2">
        <f t="shared" si="0"/>
        <v>321</v>
      </c>
      <c r="J13" s="2">
        <f t="shared" si="0"/>
        <v>2432</v>
      </c>
      <c r="K13" s="2">
        <f t="shared" si="0"/>
        <v>4900</v>
      </c>
      <c r="L13" s="2">
        <f t="shared" si="0"/>
        <v>5150</v>
      </c>
      <c r="M13" s="2">
        <f t="shared" si="0"/>
        <v>5500</v>
      </c>
      <c r="N13" s="2">
        <f t="shared" si="0"/>
        <v>6892</v>
      </c>
      <c r="O13" s="2">
        <f t="shared" si="0"/>
        <v>6457</v>
      </c>
      <c r="P13" s="2">
        <f t="shared" si="0"/>
        <v>7579</v>
      </c>
      <c r="Q13" s="2">
        <f t="shared" si="0"/>
        <v>7785</v>
      </c>
      <c r="R13" s="2">
        <f t="shared" si="0"/>
        <v>9834</v>
      </c>
      <c r="S13" s="2">
        <f t="shared" si="0"/>
        <v>10045</v>
      </c>
      <c r="T13" s="2">
        <f t="shared" si="0"/>
        <v>11532</v>
      </c>
      <c r="U13" s="2">
        <f t="shared" si="0"/>
        <v>11603</v>
      </c>
      <c r="V13" s="2">
        <f t="shared" si="0"/>
        <v>17478</v>
      </c>
      <c r="W13" s="2">
        <f t="shared" si="0"/>
        <v>14820</v>
      </c>
      <c r="X13" s="2">
        <f t="shared" si="0"/>
        <v>14402</v>
      </c>
      <c r="Y13" s="2">
        <f t="shared" si="0"/>
        <v>24821</v>
      </c>
      <c r="Z13" s="2">
        <f t="shared" si="0"/>
        <v>22200</v>
      </c>
      <c r="AA13" s="2">
        <f t="shared" si="0"/>
        <v>25000</v>
      </c>
      <c r="AB13" s="2">
        <f t="shared" si="0"/>
        <v>22000</v>
      </c>
      <c r="AC13" s="2">
        <f t="shared" si="0"/>
        <v>26152</v>
      </c>
      <c r="AD13" s="2">
        <f t="shared" si="0"/>
        <v>29862</v>
      </c>
      <c r="AE13" s="2">
        <f t="shared" si="0"/>
        <v>29982</v>
      </c>
      <c r="AF13" s="2">
        <f t="shared" si="0"/>
        <v>40740</v>
      </c>
      <c r="AG13" s="2">
        <f t="shared" si="0"/>
        <v>83725</v>
      </c>
      <c r="AH13" s="2">
        <f t="shared" si="0"/>
        <v>90909</v>
      </c>
      <c r="AI13" s="2">
        <f t="shared" si="0"/>
        <v>63000</v>
      </c>
      <c r="AJ13" s="2">
        <f t="shared" si="0"/>
        <v>95200</v>
      </c>
      <c r="AK13" s="2">
        <f t="shared" si="0"/>
        <v>97186</v>
      </c>
      <c r="AL13" s="2">
        <f t="shared" si="0"/>
        <v>112095</v>
      </c>
      <c r="AM13" s="2">
        <f t="shared" si="0"/>
        <v>88496</v>
      </c>
      <c r="AN13" s="2">
        <f t="shared" si="0"/>
        <v>90891</v>
      </c>
      <c r="AO13" s="2">
        <f t="shared" si="0"/>
        <v>139590</v>
      </c>
      <c r="AP13" s="2">
        <f t="shared" si="0"/>
        <v>180667</v>
      </c>
      <c r="AQ13" s="2">
        <f t="shared" si="0"/>
        <v>184877</v>
      </c>
      <c r="AR13" s="2">
        <f t="shared" si="0"/>
        <v>201304</v>
      </c>
      <c r="AS13" s="2">
        <f t="shared" si="0"/>
        <v>241391</v>
      </c>
      <c r="AT13" s="2">
        <f t="shared" si="0"/>
        <v>308650</v>
      </c>
      <c r="AU13" s="2">
        <f t="shared" si="0"/>
        <v>310048</v>
      </c>
      <c r="AV13" s="2">
        <f t="shared" si="0"/>
        <v>254695</v>
      </c>
      <c r="AW13" s="2">
        <f t="shared" si="0"/>
        <v>343830</v>
      </c>
      <c r="AX13" s="2">
        <f t="shared" si="0"/>
        <v>405278</v>
      </c>
      <c r="AY13" s="2">
        <f t="shared" si="0"/>
        <v>422875</v>
      </c>
      <c r="AZ13" s="2"/>
      <c r="BA13" s="2"/>
      <c r="BB13" s="2"/>
    </row>
    <row r="14" spans="2:54" x14ac:dyDescent="0.2">
      <c r="B14" s="10" t="s">
        <v>60</v>
      </c>
      <c r="C14" s="4"/>
      <c r="D14" s="4"/>
      <c r="E14" s="4"/>
      <c r="F14" s="4">
        <f>C13+D13+E13+F13</f>
        <v>669</v>
      </c>
      <c r="G14" s="4"/>
      <c r="H14" s="4"/>
      <c r="I14" s="4"/>
      <c r="J14" s="4">
        <f>G13+H13+I13+J13</f>
        <v>2970</v>
      </c>
      <c r="K14" s="4"/>
      <c r="L14" s="4"/>
      <c r="M14" s="4"/>
      <c r="N14" s="4">
        <f>K13+L13+M13+N13</f>
        <v>22442</v>
      </c>
      <c r="O14" s="4"/>
      <c r="P14" s="4"/>
      <c r="Q14" s="4"/>
      <c r="R14" s="4">
        <f>O13+P13+Q13+R13</f>
        <v>31655</v>
      </c>
      <c r="S14" s="4"/>
      <c r="T14" s="4"/>
      <c r="U14" s="4"/>
      <c r="V14" s="4">
        <f>S13+T13+U13+V13</f>
        <v>50658</v>
      </c>
      <c r="W14" s="4"/>
      <c r="X14" s="4"/>
      <c r="Y14" s="4"/>
      <c r="Z14" s="4">
        <f>W13+X13+Y13+Z13</f>
        <v>76243</v>
      </c>
      <c r="AA14" s="4"/>
      <c r="AB14" s="4"/>
      <c r="AC14" s="4"/>
      <c r="AD14" s="4">
        <f>AA13+AB13+AC13+AD13</f>
        <v>103014</v>
      </c>
      <c r="AE14" s="4"/>
      <c r="AF14" s="4"/>
      <c r="AG14" s="4"/>
      <c r="AH14" s="4">
        <f>AE13+AF13+AG13+AH13</f>
        <v>245356</v>
      </c>
      <c r="AI14" s="4"/>
      <c r="AJ14" s="4"/>
      <c r="AK14" s="4"/>
      <c r="AL14" s="4">
        <f>AI13+AJ13+AK13+AL13</f>
        <v>367481</v>
      </c>
      <c r="AM14" s="4"/>
      <c r="AN14" s="4"/>
      <c r="AO14" s="4"/>
      <c r="AP14" s="4">
        <f>AM13+AN13+AO13+AP13</f>
        <v>499644</v>
      </c>
      <c r="AQ14" s="4"/>
      <c r="AR14" s="4"/>
      <c r="AS14" s="4"/>
      <c r="AT14" s="4">
        <f>AQ13+AR13+AS13+AT13</f>
        <v>936222</v>
      </c>
      <c r="AU14" s="4"/>
      <c r="AV14" s="4"/>
      <c r="AW14" s="4"/>
      <c r="AX14" s="4">
        <f>AU13+AV13+AW13+AX13</f>
        <v>1313851</v>
      </c>
      <c r="AY14" s="4"/>
      <c r="AZ14" s="4"/>
      <c r="BA14" s="4"/>
      <c r="BB14" s="4"/>
    </row>
    <row r="15" spans="2:54" x14ac:dyDescent="0.2">
      <c r="B15" t="s">
        <v>62</v>
      </c>
      <c r="C15" t="s">
        <v>61</v>
      </c>
      <c r="D15" t="s">
        <v>61</v>
      </c>
      <c r="E15" t="s">
        <v>61</v>
      </c>
      <c r="F15" t="s">
        <v>61</v>
      </c>
      <c r="G15">
        <v>50</v>
      </c>
      <c r="H15">
        <v>350</v>
      </c>
      <c r="I15">
        <v>2750</v>
      </c>
      <c r="J15">
        <v>5000</v>
      </c>
      <c r="K15" t="s">
        <v>61</v>
      </c>
      <c r="L15" t="s">
        <v>61</v>
      </c>
      <c r="M15" t="s">
        <v>61</v>
      </c>
      <c r="N15">
        <v>6587</v>
      </c>
      <c r="O15">
        <v>7535</v>
      </c>
      <c r="P15">
        <v>8763</v>
      </c>
      <c r="Q15">
        <v>7075</v>
      </c>
      <c r="R15">
        <v>11627</v>
      </c>
      <c r="S15">
        <v>11160</v>
      </c>
      <c r="T15">
        <v>12807</v>
      </c>
      <c r="U15">
        <v>13091</v>
      </c>
      <c r="V15">
        <v>14037</v>
      </c>
      <c r="W15">
        <v>15510</v>
      </c>
      <c r="X15">
        <v>18345</v>
      </c>
      <c r="Y15">
        <v>25185</v>
      </c>
      <c r="Z15">
        <v>24882</v>
      </c>
      <c r="AA15">
        <v>25418</v>
      </c>
      <c r="AB15">
        <v>25708</v>
      </c>
      <c r="AC15">
        <v>25336</v>
      </c>
      <c r="AD15">
        <v>24565</v>
      </c>
      <c r="AE15">
        <v>34494</v>
      </c>
      <c r="AF15">
        <v>53339</v>
      </c>
      <c r="AG15">
        <v>80142</v>
      </c>
      <c r="AH15">
        <v>86555</v>
      </c>
      <c r="AI15">
        <v>77100</v>
      </c>
      <c r="AJ15">
        <v>87048</v>
      </c>
      <c r="AK15">
        <v>96155</v>
      </c>
      <c r="AL15">
        <v>104891</v>
      </c>
      <c r="AM15">
        <v>102672</v>
      </c>
      <c r="AN15">
        <v>82272</v>
      </c>
      <c r="AO15">
        <v>145036</v>
      </c>
      <c r="AP15">
        <v>179757</v>
      </c>
      <c r="AQ15">
        <v>180338</v>
      </c>
      <c r="AR15">
        <v>206421</v>
      </c>
      <c r="AS15">
        <v>237823</v>
      </c>
      <c r="AT15">
        <v>305840</v>
      </c>
      <c r="AU15">
        <v>305407</v>
      </c>
      <c r="AV15">
        <v>258580</v>
      </c>
      <c r="AW15">
        <v>365923</v>
      </c>
      <c r="AX15">
        <v>439701</v>
      </c>
      <c r="AY15">
        <v>440808</v>
      </c>
    </row>
    <row r="16" spans="2:54" x14ac:dyDescent="0.2">
      <c r="B16" s="5" t="s">
        <v>63</v>
      </c>
      <c r="G16" s="6">
        <f>G15-G13</f>
        <v>-49</v>
      </c>
      <c r="H16" s="6">
        <f t="shared" ref="H16:AY16" si="1">H15-H13</f>
        <v>232</v>
      </c>
      <c r="I16" s="6">
        <f t="shared" si="1"/>
        <v>2429</v>
      </c>
      <c r="J16" s="6">
        <f t="shared" si="1"/>
        <v>2568</v>
      </c>
      <c r="K16" s="6"/>
      <c r="L16" s="6"/>
      <c r="M16" s="6"/>
      <c r="N16" s="6">
        <f t="shared" si="1"/>
        <v>-305</v>
      </c>
      <c r="O16" s="6">
        <f t="shared" si="1"/>
        <v>1078</v>
      </c>
      <c r="P16" s="6">
        <f t="shared" si="1"/>
        <v>1184</v>
      </c>
      <c r="Q16" s="6">
        <f t="shared" si="1"/>
        <v>-710</v>
      </c>
      <c r="R16" s="6">
        <f t="shared" si="1"/>
        <v>1793</v>
      </c>
      <c r="S16" s="6">
        <f t="shared" si="1"/>
        <v>1115</v>
      </c>
      <c r="T16" s="6">
        <f t="shared" si="1"/>
        <v>1275</v>
      </c>
      <c r="U16" s="6">
        <f t="shared" si="1"/>
        <v>1488</v>
      </c>
      <c r="V16" s="6">
        <f t="shared" si="1"/>
        <v>-3441</v>
      </c>
      <c r="W16" s="6">
        <f t="shared" si="1"/>
        <v>690</v>
      </c>
      <c r="X16" s="6">
        <f t="shared" si="1"/>
        <v>3943</v>
      </c>
      <c r="Y16" s="6">
        <f t="shared" si="1"/>
        <v>364</v>
      </c>
      <c r="Z16" s="6">
        <f t="shared" si="1"/>
        <v>2682</v>
      </c>
      <c r="AA16" s="6">
        <f t="shared" si="1"/>
        <v>418</v>
      </c>
      <c r="AB16" s="6">
        <f t="shared" si="1"/>
        <v>3708</v>
      </c>
      <c r="AC16" s="6">
        <f t="shared" si="1"/>
        <v>-816</v>
      </c>
      <c r="AD16" s="6">
        <f t="shared" si="1"/>
        <v>-5297</v>
      </c>
      <c r="AE16" s="6">
        <f t="shared" si="1"/>
        <v>4512</v>
      </c>
      <c r="AF16" s="6">
        <f t="shared" si="1"/>
        <v>12599</v>
      </c>
      <c r="AG16" s="6">
        <f t="shared" si="1"/>
        <v>-3583</v>
      </c>
      <c r="AH16" s="6">
        <f t="shared" si="1"/>
        <v>-4354</v>
      </c>
      <c r="AI16" s="6">
        <f t="shared" si="1"/>
        <v>14100</v>
      </c>
      <c r="AJ16" s="6">
        <f t="shared" si="1"/>
        <v>-8152</v>
      </c>
      <c r="AK16" s="6">
        <f t="shared" si="1"/>
        <v>-1031</v>
      </c>
      <c r="AL16" s="6">
        <f t="shared" si="1"/>
        <v>-7204</v>
      </c>
      <c r="AM16" s="6">
        <f t="shared" si="1"/>
        <v>14176</v>
      </c>
      <c r="AN16" s="6">
        <f t="shared" si="1"/>
        <v>-8619</v>
      </c>
      <c r="AO16" s="6">
        <f t="shared" si="1"/>
        <v>5446</v>
      </c>
      <c r="AP16" s="6">
        <f t="shared" si="1"/>
        <v>-910</v>
      </c>
      <c r="AQ16" s="6">
        <f t="shared" si="1"/>
        <v>-4539</v>
      </c>
      <c r="AR16" s="6">
        <f t="shared" si="1"/>
        <v>5117</v>
      </c>
      <c r="AS16" s="6">
        <f t="shared" si="1"/>
        <v>-3568</v>
      </c>
      <c r="AT16" s="6">
        <f t="shared" si="1"/>
        <v>-2810</v>
      </c>
      <c r="AU16" s="6">
        <f t="shared" si="1"/>
        <v>-4641</v>
      </c>
      <c r="AV16" s="6">
        <f t="shared" si="1"/>
        <v>3885</v>
      </c>
      <c r="AW16" s="6">
        <f t="shared" si="1"/>
        <v>22093</v>
      </c>
      <c r="AX16" s="6">
        <f t="shared" si="1"/>
        <v>34423</v>
      </c>
      <c r="AY16" s="6">
        <f t="shared" si="1"/>
        <v>17933</v>
      </c>
    </row>
    <row r="17" spans="2:54" x14ac:dyDescent="0.2">
      <c r="B17" s="2" t="s">
        <v>64</v>
      </c>
      <c r="C17" s="2"/>
      <c r="D17" s="7"/>
      <c r="E17" s="7"/>
      <c r="F17" s="7"/>
      <c r="G17" s="7">
        <f>G13/C13-1</f>
        <v>-0.3172413793103448</v>
      </c>
      <c r="H17" s="7">
        <f t="shared" ref="H17:AY17" si="2">H13/D13-1</f>
        <v>-0.37894736842105259</v>
      </c>
      <c r="I17" s="7">
        <f t="shared" si="2"/>
        <v>0.74456521739130443</v>
      </c>
      <c r="J17" s="7">
        <f t="shared" si="2"/>
        <v>15.213333333333335</v>
      </c>
      <c r="K17" s="7">
        <f t="shared" si="2"/>
        <v>48.494949494949495</v>
      </c>
      <c r="L17" s="7">
        <f t="shared" si="2"/>
        <v>42.644067796610166</v>
      </c>
      <c r="M17" s="7">
        <f t="shared" si="2"/>
        <v>16.133956386292834</v>
      </c>
      <c r="N17" s="7">
        <f t="shared" si="2"/>
        <v>1.8338815789473686</v>
      </c>
      <c r="O17" s="7">
        <f t="shared" si="2"/>
        <v>0.31775510204081625</v>
      </c>
      <c r="P17" s="7">
        <f t="shared" si="2"/>
        <v>0.47165048543689325</v>
      </c>
      <c r="Q17" s="7">
        <f t="shared" si="2"/>
        <v>0.41545454545454552</v>
      </c>
      <c r="R17" s="7">
        <f t="shared" si="2"/>
        <v>0.42687173534532796</v>
      </c>
      <c r="S17" s="7">
        <f t="shared" si="2"/>
        <v>0.55567601053120641</v>
      </c>
      <c r="T17" s="7">
        <f t="shared" si="2"/>
        <v>0.52157276685578569</v>
      </c>
      <c r="U17" s="7">
        <f t="shared" si="2"/>
        <v>0.49043031470777132</v>
      </c>
      <c r="V17" s="7">
        <f t="shared" si="2"/>
        <v>0.77730323367907261</v>
      </c>
      <c r="W17" s="7">
        <f t="shared" si="2"/>
        <v>0.47536087605774013</v>
      </c>
      <c r="X17" s="7">
        <f t="shared" si="2"/>
        <v>0.24887270204647938</v>
      </c>
      <c r="Y17" s="7">
        <f t="shared" si="2"/>
        <v>1.1391881409980176</v>
      </c>
      <c r="Z17" s="7">
        <f t="shared" si="2"/>
        <v>0.2701682114658428</v>
      </c>
      <c r="AA17" s="7">
        <f t="shared" si="2"/>
        <v>0.68690958164642368</v>
      </c>
      <c r="AB17" s="7">
        <f t="shared" si="2"/>
        <v>0.52756561588668238</v>
      </c>
      <c r="AC17" s="7">
        <f t="shared" si="2"/>
        <v>5.3623947463841137E-2</v>
      </c>
      <c r="AD17" s="7">
        <f t="shared" si="2"/>
        <v>0.34513513513513505</v>
      </c>
      <c r="AE17" s="7">
        <f t="shared" si="2"/>
        <v>0.1992799999999999</v>
      </c>
      <c r="AF17" s="7">
        <f t="shared" si="2"/>
        <v>0.85181818181818181</v>
      </c>
      <c r="AG17" s="7">
        <f t="shared" si="2"/>
        <v>2.2014759865402262</v>
      </c>
      <c r="AH17" s="7">
        <f t="shared" si="2"/>
        <v>2.0443037974683542</v>
      </c>
      <c r="AI17" s="7">
        <f t="shared" si="2"/>
        <v>1.1012607564538723</v>
      </c>
      <c r="AJ17" s="7">
        <f t="shared" si="2"/>
        <v>1.336769759450172</v>
      </c>
      <c r="AK17" s="7">
        <f t="shared" si="2"/>
        <v>0.16077635114959699</v>
      </c>
      <c r="AL17" s="7">
        <f t="shared" si="2"/>
        <v>0.23304623304623306</v>
      </c>
      <c r="AM17" s="7">
        <f t="shared" si="2"/>
        <v>0.40469841269841278</v>
      </c>
      <c r="AN17" s="7">
        <f t="shared" si="2"/>
        <v>-4.5262605042016846E-2</v>
      </c>
      <c r="AO17" s="7">
        <f t="shared" si="2"/>
        <v>0.43631798818759893</v>
      </c>
      <c r="AP17" s="7">
        <f t="shared" si="2"/>
        <v>0.611731120924216</v>
      </c>
      <c r="AQ17" s="7">
        <f t="shared" si="2"/>
        <v>1.0891000723196527</v>
      </c>
      <c r="AR17" s="7">
        <f t="shared" si="2"/>
        <v>1.2147847421636904</v>
      </c>
      <c r="AS17" s="7">
        <f t="shared" si="2"/>
        <v>0.72928576545597812</v>
      </c>
      <c r="AT17" s="7">
        <f t="shared" si="2"/>
        <v>0.70839168193416624</v>
      </c>
      <c r="AU17" s="7">
        <f t="shared" si="2"/>
        <v>0.67705014685439502</v>
      </c>
      <c r="AV17" s="7">
        <f t="shared" si="2"/>
        <v>0.26522572825179824</v>
      </c>
      <c r="AW17" s="7">
        <f t="shared" si="2"/>
        <v>0.42436959124408125</v>
      </c>
      <c r="AX17" s="7">
        <f t="shared" si="2"/>
        <v>0.31306658026891299</v>
      </c>
      <c r="AY17" s="7">
        <f t="shared" si="2"/>
        <v>0.36390171844359576</v>
      </c>
      <c r="AZ17" s="7"/>
      <c r="BA17" s="7"/>
      <c r="BB17" s="7"/>
    </row>
    <row r="18" spans="2:54" x14ac:dyDescent="0.2">
      <c r="B18" s="18"/>
      <c r="C18" s="19"/>
      <c r="D18" s="19"/>
      <c r="E18" s="19"/>
      <c r="F18" s="20"/>
      <c r="G18" s="19"/>
      <c r="H18" s="19"/>
      <c r="I18" s="19"/>
      <c r="J18" s="21"/>
      <c r="K18" s="19"/>
      <c r="L18" s="19"/>
      <c r="M18" s="19"/>
      <c r="N18" s="21"/>
      <c r="O18" s="19"/>
      <c r="P18" s="19"/>
      <c r="Q18" s="19"/>
      <c r="R18" s="21"/>
      <c r="S18" s="19"/>
      <c r="T18" s="19"/>
      <c r="U18" s="19"/>
      <c r="V18" s="21"/>
      <c r="W18" s="19"/>
      <c r="X18" s="19"/>
      <c r="Y18" s="19"/>
      <c r="Z18" s="21"/>
      <c r="AA18" s="19"/>
      <c r="AB18" s="19"/>
      <c r="AC18" s="19"/>
      <c r="AD18" s="21"/>
      <c r="AE18" s="19"/>
      <c r="AF18" s="19"/>
      <c r="AG18" s="19"/>
      <c r="AH18" s="21"/>
      <c r="AI18" s="19"/>
      <c r="AJ18" s="19"/>
      <c r="AK18" s="19"/>
      <c r="AL18" s="21"/>
      <c r="AM18" s="19"/>
      <c r="AN18" s="19"/>
      <c r="AO18" s="19"/>
      <c r="AP18" s="21"/>
      <c r="AQ18" s="19"/>
      <c r="AR18" s="19"/>
      <c r="AS18" s="19"/>
      <c r="AT18" s="21"/>
      <c r="AU18" s="19"/>
      <c r="AV18" s="19"/>
      <c r="AW18" s="19"/>
      <c r="AX18" s="21"/>
      <c r="AY18" s="19"/>
      <c r="AZ18" s="19"/>
      <c r="BA18" s="19"/>
      <c r="BB18" s="19"/>
    </row>
    <row r="20" spans="2:54" x14ac:dyDescent="0.2">
      <c r="B20" t="s">
        <v>116</v>
      </c>
      <c r="F20" s="3">
        <f>F21/E21-1</f>
        <v>3.4394618834080717</v>
      </c>
      <c r="G20" s="3">
        <f t="shared" ref="G20:P20" si="3">G21/F21-1</f>
        <v>6.5562289562289564</v>
      </c>
      <c r="H20" s="3">
        <f t="shared" si="3"/>
        <v>0.41052490865341773</v>
      </c>
      <c r="I20" s="3">
        <f t="shared" si="3"/>
        <v>0.60031590586005379</v>
      </c>
      <c r="J20" s="3">
        <f t="shared" si="3"/>
        <v>0.50505349599273552</v>
      </c>
      <c r="K20" s="3">
        <f t="shared" si="3"/>
        <v>0.35112731660611463</v>
      </c>
      <c r="L20" s="3">
        <f t="shared" si="3"/>
        <v>1.3817733511949832</v>
      </c>
      <c r="M20" s="3">
        <f t="shared" si="3"/>
        <v>0.49774613215083385</v>
      </c>
      <c r="N20" s="3">
        <f t="shared" si="3"/>
        <v>0.35964580481711983</v>
      </c>
      <c r="O20" s="3">
        <f t="shared" si="3"/>
        <v>0.87377813002858029</v>
      </c>
      <c r="P20" s="3">
        <f t="shared" si="3"/>
        <v>0.40335411900168983</v>
      </c>
    </row>
    <row r="21" spans="2:54" x14ac:dyDescent="0.2">
      <c r="B21" t="s">
        <v>115</v>
      </c>
      <c r="E21" s="17">
        <v>669</v>
      </c>
      <c r="F21" s="17">
        <v>2970</v>
      </c>
      <c r="G21" s="17">
        <v>22442</v>
      </c>
      <c r="H21" s="17">
        <v>31655</v>
      </c>
      <c r="I21" s="17">
        <v>50658</v>
      </c>
      <c r="J21" s="17">
        <v>76243</v>
      </c>
      <c r="K21" s="17">
        <v>103014</v>
      </c>
      <c r="L21" s="17">
        <v>245356</v>
      </c>
      <c r="M21" s="17">
        <v>367481</v>
      </c>
      <c r="N21" s="17">
        <v>499644</v>
      </c>
      <c r="O21" s="17">
        <v>936222</v>
      </c>
      <c r="P21" s="17">
        <v>1313851</v>
      </c>
    </row>
    <row r="22" spans="2:54" x14ac:dyDescent="0.2">
      <c r="C22" s="9" t="s">
        <v>67</v>
      </c>
      <c r="D22" s="9" t="s">
        <v>68</v>
      </c>
      <c r="E22" s="9" t="s">
        <v>69</v>
      </c>
      <c r="F22" s="9" t="s">
        <v>70</v>
      </c>
      <c r="G22" s="9" t="s">
        <v>71</v>
      </c>
      <c r="H22" s="9" t="s">
        <v>72</v>
      </c>
      <c r="I22" s="9" t="s">
        <v>73</v>
      </c>
      <c r="J22" s="9" t="s">
        <v>74</v>
      </c>
      <c r="K22" s="9" t="s">
        <v>75</v>
      </c>
      <c r="L22" s="9" t="s">
        <v>76</v>
      </c>
      <c r="M22" s="9" t="s">
        <v>77</v>
      </c>
      <c r="N22" s="9" t="s">
        <v>66</v>
      </c>
      <c r="O22" s="9" t="s">
        <v>78</v>
      </c>
      <c r="P22" s="9" t="s">
        <v>79</v>
      </c>
      <c r="Q22" s="9" t="s">
        <v>80</v>
      </c>
      <c r="R22" s="9" t="s">
        <v>81</v>
      </c>
      <c r="S22" s="9" t="s">
        <v>82</v>
      </c>
      <c r="T22" s="9" t="s">
        <v>83</v>
      </c>
      <c r="U22" s="9" t="s">
        <v>84</v>
      </c>
      <c r="V22" s="9" t="s">
        <v>85</v>
      </c>
      <c r="W22" s="9" t="s">
        <v>86</v>
      </c>
      <c r="X22" s="9" t="s">
        <v>87</v>
      </c>
      <c r="Y22" s="9" t="s">
        <v>88</v>
      </c>
      <c r="Z22" s="9" t="s">
        <v>89</v>
      </c>
      <c r="AA22" s="9" t="s">
        <v>90</v>
      </c>
      <c r="AB22" s="9" t="s">
        <v>91</v>
      </c>
      <c r="AC22" s="9" t="s">
        <v>92</v>
      </c>
      <c r="AD22" s="9" t="s">
        <v>93</v>
      </c>
      <c r="AE22" s="9" t="s">
        <v>94</v>
      </c>
      <c r="AF22" s="9" t="s">
        <v>95</v>
      </c>
      <c r="AG22" s="9" t="s">
        <v>96</v>
      </c>
      <c r="AH22" s="9" t="s">
        <v>97</v>
      </c>
    </row>
    <row r="23" spans="2:54" x14ac:dyDescent="0.2">
      <c r="B23" t="s">
        <v>98</v>
      </c>
      <c r="C23" s="12">
        <v>111943000</v>
      </c>
      <c r="D23" s="12">
        <v>97078000</v>
      </c>
      <c r="E23" s="12">
        <v>148568000</v>
      </c>
      <c r="F23" s="12">
        <v>385699000</v>
      </c>
      <c r="G23" s="12">
        <v>1997786000</v>
      </c>
      <c r="H23" s="12">
        <v>3192723000</v>
      </c>
      <c r="I23" s="12">
        <v>3431587000</v>
      </c>
      <c r="J23" s="12">
        <v>5589007000</v>
      </c>
      <c r="K23" s="12">
        <v>8534752000</v>
      </c>
      <c r="L23" s="12">
        <v>17632000000</v>
      </c>
      <c r="M23" s="12">
        <v>19952000000</v>
      </c>
      <c r="N23" s="12">
        <v>26184000000</v>
      </c>
      <c r="O23" s="12">
        <v>44125000000</v>
      </c>
      <c r="P23" s="12">
        <v>67210000000</v>
      </c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</row>
    <row r="24" spans="2:54" x14ac:dyDescent="0.2">
      <c r="B24" t="s">
        <v>117</v>
      </c>
      <c r="C24" s="12">
        <v>0</v>
      </c>
      <c r="D24" s="12">
        <v>19666000</v>
      </c>
      <c r="E24" s="12">
        <v>55674000</v>
      </c>
      <c r="F24" s="12">
        <v>27557000</v>
      </c>
      <c r="G24" s="12">
        <v>15710000</v>
      </c>
      <c r="H24" s="12">
        <v>5633000</v>
      </c>
      <c r="I24" s="12">
        <v>290575000</v>
      </c>
      <c r="J24" s="12">
        <v>467972000</v>
      </c>
      <c r="K24" s="12">
        <v>1001185000</v>
      </c>
      <c r="L24" s="12">
        <v>1391000000</v>
      </c>
      <c r="M24" s="12">
        <v>2226000000</v>
      </c>
      <c r="N24" s="12">
        <v>2306000000</v>
      </c>
      <c r="O24" s="12">
        <v>3802000000</v>
      </c>
      <c r="P24" s="12">
        <v>6091000000</v>
      </c>
    </row>
    <row r="25" spans="2:54" x14ac:dyDescent="0.2">
      <c r="B25" t="s">
        <v>118</v>
      </c>
      <c r="C25" s="12"/>
      <c r="D25" s="12"/>
      <c r="E25" s="12"/>
      <c r="F25" s="12"/>
      <c r="G25" s="12"/>
      <c r="H25" s="12"/>
      <c r="I25" s="12">
        <v>309386000</v>
      </c>
      <c r="J25" s="12">
        <v>761759000</v>
      </c>
      <c r="K25" s="12">
        <v>1106548000</v>
      </c>
      <c r="L25" s="12">
        <v>883000000</v>
      </c>
      <c r="M25" s="12">
        <v>869000000</v>
      </c>
      <c r="N25" s="12">
        <v>1052000000</v>
      </c>
      <c r="O25" s="12">
        <v>1642000000</v>
      </c>
      <c r="P25" s="12">
        <v>2476000000</v>
      </c>
    </row>
    <row r="26" spans="2:54" x14ac:dyDescent="0.2">
      <c r="B26" t="s">
        <v>119</v>
      </c>
      <c r="C26" s="12"/>
      <c r="D26" s="12"/>
      <c r="E26" s="12"/>
      <c r="F26" s="12"/>
      <c r="G26" s="12"/>
      <c r="H26" s="12"/>
      <c r="I26" s="12">
        <v>14477000</v>
      </c>
      <c r="J26" s="12">
        <v>181394000</v>
      </c>
      <c r="K26" s="12">
        <v>1116266000</v>
      </c>
      <c r="L26" s="12">
        <v>1555000000</v>
      </c>
      <c r="M26" s="12">
        <v>1531000000</v>
      </c>
      <c r="N26" s="12">
        <v>1994000000</v>
      </c>
      <c r="O26" s="12">
        <v>2789000000</v>
      </c>
      <c r="P26" s="12">
        <v>3909000000</v>
      </c>
    </row>
    <row r="27" spans="2:54" x14ac:dyDescent="0.2">
      <c r="B27" t="s">
        <v>123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>
        <v>1465000000</v>
      </c>
      <c r="P27" s="12">
        <v>1776000000</v>
      </c>
    </row>
    <row r="28" spans="2:54" x14ac:dyDescent="0.2">
      <c r="B28" s="9" t="s">
        <v>99</v>
      </c>
      <c r="C28" s="14">
        <f>C23+C24</f>
        <v>111943000</v>
      </c>
      <c r="D28" s="14">
        <f>D23+D24</f>
        <v>116744000</v>
      </c>
      <c r="E28" s="14">
        <f t="shared" ref="E28:H28" si="4">E23+E24</f>
        <v>204242000</v>
      </c>
      <c r="F28" s="14">
        <f t="shared" si="4"/>
        <v>413256000</v>
      </c>
      <c r="G28" s="14">
        <f t="shared" si="4"/>
        <v>2013496000</v>
      </c>
      <c r="H28" s="14">
        <f t="shared" si="4"/>
        <v>3198356000</v>
      </c>
      <c r="I28" s="14">
        <f>I23+I24+I25+I26</f>
        <v>4046025000</v>
      </c>
      <c r="J28" s="14">
        <f t="shared" ref="J28:N28" si="5">J23+J24+J25+J26</f>
        <v>7000132000</v>
      </c>
      <c r="K28" s="14">
        <f>K23+K24+K25+K26</f>
        <v>11758751000</v>
      </c>
      <c r="L28" s="14">
        <f t="shared" si="5"/>
        <v>21461000000</v>
      </c>
      <c r="M28" s="14">
        <f t="shared" si="5"/>
        <v>24578000000</v>
      </c>
      <c r="N28" s="14">
        <f t="shared" si="5"/>
        <v>31536000000</v>
      </c>
      <c r="O28" s="14">
        <f>O23+O24+O25+O26+O27</f>
        <v>53823000000</v>
      </c>
      <c r="P28" s="14">
        <f t="shared" ref="P28" si="6">P23+P24+P25+P26+P27</f>
        <v>81462000000</v>
      </c>
      <c r="Q28" s="14">
        <f>P28*Q48+P28</f>
        <v>122193000000</v>
      </c>
      <c r="R28" s="14">
        <f t="shared" ref="R28:AH28" si="7">Q28*R48+Q28</f>
        <v>152741250000</v>
      </c>
      <c r="S28" s="14">
        <f t="shared" si="7"/>
        <v>183289500000</v>
      </c>
      <c r="T28" s="14">
        <f t="shared" si="7"/>
        <v>201618450000</v>
      </c>
      <c r="U28" s="14">
        <f t="shared" si="7"/>
        <v>211699372500</v>
      </c>
      <c r="V28" s="14">
        <f t="shared" si="7"/>
        <v>220167347400</v>
      </c>
      <c r="W28" s="14">
        <f t="shared" si="7"/>
        <v>228974041296</v>
      </c>
      <c r="X28" s="14">
        <f t="shared" si="7"/>
        <v>238133002947.84</v>
      </c>
      <c r="Y28" s="14">
        <f t="shared" si="7"/>
        <v>247658323065.7536</v>
      </c>
      <c r="Z28" s="14">
        <f t="shared" si="7"/>
        <v>257564655988.38376</v>
      </c>
      <c r="AA28" s="14">
        <f t="shared" si="7"/>
        <v>267867242227.9191</v>
      </c>
      <c r="AB28" s="14">
        <f t="shared" si="7"/>
        <v>278581931917.03589</v>
      </c>
      <c r="AC28" s="14">
        <f t="shared" si="7"/>
        <v>289725209193.71735</v>
      </c>
      <c r="AD28" s="14">
        <f t="shared" si="7"/>
        <v>301314217561.46606</v>
      </c>
      <c r="AE28" s="14">
        <f t="shared" si="7"/>
        <v>313366786263.92468</v>
      </c>
      <c r="AF28" s="14">
        <f t="shared" si="7"/>
        <v>325901457714.48169</v>
      </c>
      <c r="AG28" s="14">
        <f t="shared" si="7"/>
        <v>338937516023.06097</v>
      </c>
      <c r="AH28" s="14">
        <f t="shared" si="7"/>
        <v>352495016663.9834</v>
      </c>
    </row>
    <row r="29" spans="2:54" x14ac:dyDescent="0.2">
      <c r="B29" t="s">
        <v>100</v>
      </c>
      <c r="C29" s="12">
        <v>102408000</v>
      </c>
      <c r="D29" s="12">
        <v>79982000</v>
      </c>
      <c r="E29" s="12">
        <v>115482000</v>
      </c>
      <c r="F29" s="12">
        <v>371658000</v>
      </c>
      <c r="G29" s="12">
        <v>1543878000</v>
      </c>
      <c r="H29" s="12">
        <v>2310011000</v>
      </c>
      <c r="I29" s="12">
        <v>2639926000</v>
      </c>
      <c r="J29" s="12">
        <v>4268087000</v>
      </c>
      <c r="K29" s="12">
        <v>6724480000</v>
      </c>
      <c r="L29" s="12">
        <v>13686000000</v>
      </c>
      <c r="M29" s="12">
        <v>15939000000</v>
      </c>
      <c r="N29" s="12">
        <v>19696000000</v>
      </c>
      <c r="O29" s="12">
        <v>32415000000</v>
      </c>
      <c r="P29" s="12">
        <v>49599000000</v>
      </c>
      <c r="Q29" s="13">
        <f>P29*Q56+P29</f>
        <v>74398500000</v>
      </c>
      <c r="R29" s="13">
        <f t="shared" ref="R29:AH29" si="8">Q29*R56+Q29</f>
        <v>92998125000</v>
      </c>
      <c r="S29" s="13">
        <f t="shared" si="8"/>
        <v>111597750000</v>
      </c>
      <c r="T29" s="13">
        <f t="shared" si="8"/>
        <v>122757525000</v>
      </c>
      <c r="U29" s="13">
        <f t="shared" si="8"/>
        <v>126440250750</v>
      </c>
      <c r="V29" s="13">
        <f t="shared" si="8"/>
        <v>130233458272.5</v>
      </c>
      <c r="W29" s="13">
        <f t="shared" si="8"/>
        <v>134140462020.675</v>
      </c>
      <c r="X29" s="13">
        <f t="shared" si="8"/>
        <v>138164675881.29526</v>
      </c>
      <c r="Y29" s="13">
        <f t="shared" si="8"/>
        <v>142309616157.7341</v>
      </c>
      <c r="Z29" s="13">
        <f t="shared" si="8"/>
        <v>146578904642.46613</v>
      </c>
      <c r="AA29" s="13">
        <f t="shared" si="8"/>
        <v>150976271781.74011</v>
      </c>
      <c r="AB29" s="13">
        <f t="shared" si="8"/>
        <v>155505559935.19232</v>
      </c>
      <c r="AC29" s="13">
        <f t="shared" si="8"/>
        <v>160170726733.24808</v>
      </c>
      <c r="AD29" s="13">
        <f t="shared" si="8"/>
        <v>164975848535.24551</v>
      </c>
      <c r="AE29" s="13">
        <f t="shared" si="8"/>
        <v>169925123991.30289</v>
      </c>
      <c r="AF29" s="13">
        <f t="shared" si="8"/>
        <v>175022877711.04196</v>
      </c>
      <c r="AG29" s="13">
        <f t="shared" si="8"/>
        <v>180273564042.37323</v>
      </c>
      <c r="AH29" s="13">
        <f t="shared" si="8"/>
        <v>185681770963.64444</v>
      </c>
    </row>
    <row r="30" spans="2:54" x14ac:dyDescent="0.2">
      <c r="B30" t="s">
        <v>122</v>
      </c>
      <c r="C30" s="12">
        <v>0</v>
      </c>
      <c r="D30" s="12">
        <v>6031000</v>
      </c>
      <c r="E30" s="12">
        <v>27165000</v>
      </c>
      <c r="F30" s="12">
        <v>11531000</v>
      </c>
      <c r="G30" s="12">
        <v>13356000</v>
      </c>
      <c r="H30" s="12">
        <v>6674000</v>
      </c>
      <c r="I30" s="12">
        <v>286933000</v>
      </c>
      <c r="J30" s="12">
        <v>472462000</v>
      </c>
      <c r="K30" s="12">
        <v>1229022000</v>
      </c>
      <c r="L30" s="12">
        <v>1880000000</v>
      </c>
      <c r="M30" s="12">
        <v>2770000000</v>
      </c>
      <c r="N30" s="12">
        <v>2671000000</v>
      </c>
      <c r="O30" s="12">
        <v>3906000000</v>
      </c>
      <c r="P30" s="12">
        <v>5880000000</v>
      </c>
      <c r="Q30" s="13">
        <f>P30*Q58+P30</f>
        <v>8820000000</v>
      </c>
      <c r="R30" s="13">
        <f t="shared" ref="R30:AH30" si="9">Q30*R58+Q30</f>
        <v>11025000000</v>
      </c>
      <c r="S30" s="13">
        <f t="shared" si="9"/>
        <v>13230000000</v>
      </c>
      <c r="T30" s="13">
        <f t="shared" si="9"/>
        <v>14553000000</v>
      </c>
      <c r="U30" s="13">
        <f t="shared" si="9"/>
        <v>14989590000</v>
      </c>
      <c r="V30" s="13">
        <f t="shared" si="9"/>
        <v>15439277700</v>
      </c>
      <c r="W30" s="13">
        <f t="shared" si="9"/>
        <v>15902456031</v>
      </c>
      <c r="X30" s="13">
        <f t="shared" si="9"/>
        <v>16379529711.93</v>
      </c>
      <c r="Y30" s="13">
        <f t="shared" si="9"/>
        <v>16870915603.287901</v>
      </c>
      <c r="Z30" s="13">
        <f t="shared" si="9"/>
        <v>17377043071.386539</v>
      </c>
      <c r="AA30" s="13">
        <f t="shared" si="9"/>
        <v>17898354363.528137</v>
      </c>
      <c r="AB30" s="13">
        <f t="shared" si="9"/>
        <v>18435304994.433983</v>
      </c>
      <c r="AC30" s="13">
        <f t="shared" si="9"/>
        <v>18988364144.267002</v>
      </c>
      <c r="AD30" s="13">
        <f t="shared" si="9"/>
        <v>19558015068.595013</v>
      </c>
      <c r="AE30" s="13">
        <f t="shared" si="9"/>
        <v>20144755520.652863</v>
      </c>
      <c r="AF30" s="13">
        <f t="shared" si="9"/>
        <v>20749098186.272449</v>
      </c>
      <c r="AG30" s="13">
        <f t="shared" si="9"/>
        <v>21371571131.860622</v>
      </c>
      <c r="AH30" s="13">
        <f t="shared" si="9"/>
        <v>22012718265.816441</v>
      </c>
    </row>
    <row r="31" spans="2:54" x14ac:dyDescent="0.2">
      <c r="B31" t="s">
        <v>120</v>
      </c>
      <c r="C31" s="12"/>
      <c r="D31" s="12"/>
      <c r="E31" s="12"/>
      <c r="F31" s="12"/>
      <c r="G31" s="12"/>
      <c r="H31" s="12"/>
      <c r="I31" s="12">
        <v>183376000</v>
      </c>
      <c r="J31" s="12">
        <v>481994000</v>
      </c>
      <c r="K31" s="12">
        <v>708224000</v>
      </c>
      <c r="L31" s="12">
        <v>488000000</v>
      </c>
      <c r="M31" s="12">
        <v>459000000</v>
      </c>
      <c r="N31" s="12">
        <v>563000000</v>
      </c>
      <c r="O31" s="12">
        <v>978000000</v>
      </c>
      <c r="P31" s="12">
        <v>1509000000</v>
      </c>
      <c r="Q31" s="13">
        <f>P31*Q57+P31</f>
        <v>2263500000</v>
      </c>
      <c r="R31" s="13">
        <f t="shared" ref="R31:AH31" si="10">Q31*R57+Q31</f>
        <v>2829375000</v>
      </c>
      <c r="S31" s="13">
        <f t="shared" si="10"/>
        <v>3395250000</v>
      </c>
      <c r="T31" s="13">
        <f t="shared" si="10"/>
        <v>3734775000</v>
      </c>
      <c r="U31" s="13">
        <f t="shared" si="10"/>
        <v>3846818250</v>
      </c>
      <c r="V31" s="13">
        <f t="shared" si="10"/>
        <v>3962222797.5</v>
      </c>
      <c r="W31" s="13">
        <f t="shared" si="10"/>
        <v>4081089481.4250002</v>
      </c>
      <c r="X31" s="13">
        <f t="shared" si="10"/>
        <v>4203522165.8677502</v>
      </c>
      <c r="Y31" s="13">
        <f t="shared" si="10"/>
        <v>4329627830.8437824</v>
      </c>
      <c r="Z31" s="13">
        <f t="shared" si="10"/>
        <v>4459516665.7690964</v>
      </c>
      <c r="AA31" s="13">
        <f t="shared" si="10"/>
        <v>4593302165.7421694</v>
      </c>
      <c r="AB31" s="13">
        <f t="shared" si="10"/>
        <v>4731101230.7144346</v>
      </c>
      <c r="AC31" s="13">
        <f t="shared" si="10"/>
        <v>4873034267.6358681</v>
      </c>
      <c r="AD31" s="13">
        <f t="shared" si="10"/>
        <v>5019225295.6649437</v>
      </c>
      <c r="AE31" s="13">
        <f t="shared" si="10"/>
        <v>5169802054.5348921</v>
      </c>
      <c r="AF31" s="13">
        <f t="shared" si="10"/>
        <v>5324896116.1709385</v>
      </c>
      <c r="AG31" s="13">
        <f t="shared" si="10"/>
        <v>5484642999.6560669</v>
      </c>
      <c r="AH31" s="13">
        <f t="shared" si="10"/>
        <v>5649182289.6457491</v>
      </c>
    </row>
    <row r="32" spans="2:54" x14ac:dyDescent="0.2">
      <c r="B32" t="s">
        <v>121</v>
      </c>
      <c r="C32" s="12"/>
      <c r="D32" s="12"/>
      <c r="E32" s="12"/>
      <c r="F32" s="12"/>
      <c r="G32" s="12"/>
      <c r="H32" s="12"/>
      <c r="I32" s="12">
        <v>12287000</v>
      </c>
      <c r="J32" s="12">
        <v>178332000</v>
      </c>
      <c r="K32" s="12">
        <v>874538000</v>
      </c>
      <c r="L32" s="12">
        <v>1365000000</v>
      </c>
      <c r="M32" s="12">
        <v>1341000000</v>
      </c>
      <c r="N32" s="12">
        <v>1976000000</v>
      </c>
      <c r="O32" s="12">
        <v>2918000000</v>
      </c>
      <c r="P32" s="12">
        <v>3621000000</v>
      </c>
      <c r="Q32" s="13">
        <f>P32*Q59+P32</f>
        <v>5431500000</v>
      </c>
      <c r="R32" s="13">
        <f t="shared" ref="R32:AH32" si="11">Q32*R59+Q32</f>
        <v>6789375000</v>
      </c>
      <c r="S32" s="13">
        <f t="shared" si="11"/>
        <v>8147250000</v>
      </c>
      <c r="T32" s="13">
        <f t="shared" si="11"/>
        <v>8961975000</v>
      </c>
      <c r="U32" s="13">
        <f t="shared" si="11"/>
        <v>9230834250</v>
      </c>
      <c r="V32" s="13">
        <f t="shared" si="11"/>
        <v>9507759277.5</v>
      </c>
      <c r="W32" s="13">
        <f t="shared" si="11"/>
        <v>9792992055.8250008</v>
      </c>
      <c r="X32" s="13">
        <f t="shared" si="11"/>
        <v>10086781817.49975</v>
      </c>
      <c r="Y32" s="13">
        <f t="shared" si="11"/>
        <v>10389385272.024742</v>
      </c>
      <c r="Z32" s="13">
        <f t="shared" si="11"/>
        <v>10701066830.185484</v>
      </c>
      <c r="AA32" s="13">
        <f t="shared" si="11"/>
        <v>11022098835.091049</v>
      </c>
      <c r="AB32" s="13">
        <f t="shared" si="11"/>
        <v>11352761800.14378</v>
      </c>
      <c r="AC32" s="13">
        <f t="shared" si="11"/>
        <v>11693344654.148092</v>
      </c>
      <c r="AD32" s="13">
        <f t="shared" si="11"/>
        <v>12044144993.772535</v>
      </c>
      <c r="AE32" s="13">
        <f t="shared" si="11"/>
        <v>12405469343.585711</v>
      </c>
      <c r="AF32" s="13">
        <f t="shared" si="11"/>
        <v>12777633423.893282</v>
      </c>
      <c r="AG32" s="13">
        <f t="shared" si="11"/>
        <v>13160962426.610081</v>
      </c>
      <c r="AH32" s="13">
        <f t="shared" si="11"/>
        <v>13555791299.408382</v>
      </c>
    </row>
    <row r="33" spans="2:63" x14ac:dyDescent="0.2">
      <c r="B33" s="9" t="s">
        <v>101</v>
      </c>
      <c r="C33" s="12">
        <f>C29+C30</f>
        <v>102408000</v>
      </c>
      <c r="D33" s="12">
        <f t="shared" ref="D33:H33" si="12">D29+D30</f>
        <v>86013000</v>
      </c>
      <c r="E33" s="12">
        <f t="shared" si="12"/>
        <v>142647000</v>
      </c>
      <c r="F33" s="12">
        <f t="shared" si="12"/>
        <v>383189000</v>
      </c>
      <c r="G33" s="12">
        <f t="shared" si="12"/>
        <v>1557234000</v>
      </c>
      <c r="H33" s="12">
        <f t="shared" si="12"/>
        <v>2316685000</v>
      </c>
      <c r="I33" s="12">
        <f>I29+I30+I31+I32</f>
        <v>3122522000</v>
      </c>
      <c r="J33" s="12">
        <f t="shared" ref="J33:P33" si="13">J29+J30+J31+J32</f>
        <v>5400875000</v>
      </c>
      <c r="K33" s="12">
        <f t="shared" si="13"/>
        <v>9536264000</v>
      </c>
      <c r="L33" s="12">
        <f t="shared" si="13"/>
        <v>17419000000</v>
      </c>
      <c r="M33" s="12">
        <f t="shared" si="13"/>
        <v>20509000000</v>
      </c>
      <c r="N33" s="12">
        <f t="shared" si="13"/>
        <v>24906000000</v>
      </c>
      <c r="O33" s="12">
        <f t="shared" si="13"/>
        <v>40217000000</v>
      </c>
      <c r="P33" s="12">
        <f t="shared" si="13"/>
        <v>60609000000</v>
      </c>
      <c r="Q33" s="13">
        <f>Q29+Q30+Q31+Q32</f>
        <v>90913500000</v>
      </c>
      <c r="R33" s="13">
        <f t="shared" ref="R33:AH33" si="14">R29+R30+R31+R32</f>
        <v>113641875000</v>
      </c>
      <c r="S33" s="13">
        <f t="shared" si="14"/>
        <v>136370250000</v>
      </c>
      <c r="T33" s="13">
        <f t="shared" si="14"/>
        <v>150007275000</v>
      </c>
      <c r="U33" s="13">
        <f t="shared" si="14"/>
        <v>154507493250</v>
      </c>
      <c r="V33" s="13">
        <f t="shared" si="14"/>
        <v>159142718047.5</v>
      </c>
      <c r="W33" s="13">
        <f t="shared" si="14"/>
        <v>163916999588.92499</v>
      </c>
      <c r="X33" s="13">
        <f t="shared" si="14"/>
        <v>168834509576.59274</v>
      </c>
      <c r="Y33" s="13">
        <f t="shared" si="14"/>
        <v>173899544863.89053</v>
      </c>
      <c r="Z33" s="13">
        <f t="shared" si="14"/>
        <v>179116531209.80725</v>
      </c>
      <c r="AA33" s="13">
        <f t="shared" si="14"/>
        <v>184490027146.10144</v>
      </c>
      <c r="AB33" s="13">
        <f t="shared" si="14"/>
        <v>190024727960.48453</v>
      </c>
      <c r="AC33" s="13">
        <f t="shared" si="14"/>
        <v>195725469799.29904</v>
      </c>
      <c r="AD33" s="13">
        <f t="shared" si="14"/>
        <v>201597233893.27798</v>
      </c>
      <c r="AE33" s="13">
        <f t="shared" si="14"/>
        <v>207645150910.07635</v>
      </c>
      <c r="AF33" s="13">
        <f t="shared" si="14"/>
        <v>213874505437.37863</v>
      </c>
      <c r="AG33" s="13">
        <f t="shared" si="14"/>
        <v>220290740600.5</v>
      </c>
      <c r="AH33" s="13">
        <f t="shared" si="14"/>
        <v>226899462818.51501</v>
      </c>
    </row>
    <row r="34" spans="2:63" x14ac:dyDescent="0.2">
      <c r="B34" s="9" t="s">
        <v>102</v>
      </c>
      <c r="C34" s="15">
        <f>C28-C33</f>
        <v>9535000</v>
      </c>
      <c r="D34" s="15">
        <f t="shared" ref="D34:P34" si="15">D28-D33</f>
        <v>30731000</v>
      </c>
      <c r="E34" s="15">
        <f t="shared" si="15"/>
        <v>61595000</v>
      </c>
      <c r="F34" s="15">
        <f t="shared" si="15"/>
        <v>30067000</v>
      </c>
      <c r="G34" s="15">
        <f t="shared" si="15"/>
        <v>456262000</v>
      </c>
      <c r="H34" s="15">
        <f t="shared" si="15"/>
        <v>881671000</v>
      </c>
      <c r="I34" s="15">
        <f t="shared" si="15"/>
        <v>923503000</v>
      </c>
      <c r="J34" s="15">
        <f t="shared" si="15"/>
        <v>1599257000</v>
      </c>
      <c r="K34" s="15">
        <f t="shared" si="15"/>
        <v>2222487000</v>
      </c>
      <c r="L34" s="15">
        <f t="shared" si="15"/>
        <v>4042000000</v>
      </c>
      <c r="M34" s="15">
        <f t="shared" si="15"/>
        <v>4069000000</v>
      </c>
      <c r="N34" s="15">
        <f t="shared" si="15"/>
        <v>6630000000</v>
      </c>
      <c r="O34" s="15">
        <f t="shared" si="15"/>
        <v>13606000000</v>
      </c>
      <c r="P34" s="15">
        <f t="shared" si="15"/>
        <v>20853000000</v>
      </c>
      <c r="Q34" s="14">
        <f>Q28-Q33</f>
        <v>31279500000</v>
      </c>
      <c r="R34" s="14">
        <f t="shared" ref="R34:AH34" si="16">R28-R33</f>
        <v>39099375000</v>
      </c>
      <c r="S34" s="14">
        <f t="shared" si="16"/>
        <v>46919250000</v>
      </c>
      <c r="T34" s="14">
        <f t="shared" si="16"/>
        <v>51611175000</v>
      </c>
      <c r="U34" s="14">
        <f t="shared" si="16"/>
        <v>57191879250</v>
      </c>
      <c r="V34" s="14">
        <f t="shared" si="16"/>
        <v>61024629352.5</v>
      </c>
      <c r="W34" s="14">
        <f t="shared" si="16"/>
        <v>65057041707.075012</v>
      </c>
      <c r="X34" s="14">
        <f t="shared" si="16"/>
        <v>69298493371.247253</v>
      </c>
      <c r="Y34" s="14">
        <f t="shared" si="16"/>
        <v>73758778201.863068</v>
      </c>
      <c r="Z34" s="14">
        <f t="shared" si="16"/>
        <v>78448124778.576508</v>
      </c>
      <c r="AA34" s="14">
        <f t="shared" si="16"/>
        <v>83377215081.817657</v>
      </c>
      <c r="AB34" s="14">
        <f t="shared" si="16"/>
        <v>88557203956.551361</v>
      </c>
      <c r="AC34" s="14">
        <f t="shared" si="16"/>
        <v>93999739394.418304</v>
      </c>
      <c r="AD34" s="14">
        <f t="shared" si="16"/>
        <v>99716983668.18808</v>
      </c>
      <c r="AE34" s="14">
        <f t="shared" si="16"/>
        <v>105721635353.84833</v>
      </c>
      <c r="AF34" s="14">
        <f t="shared" si="16"/>
        <v>112026952277.10306</v>
      </c>
      <c r="AG34" s="14">
        <f t="shared" si="16"/>
        <v>118646775422.56097</v>
      </c>
      <c r="AH34" s="14">
        <f t="shared" si="16"/>
        <v>125595553845.46838</v>
      </c>
    </row>
    <row r="35" spans="2:63" x14ac:dyDescent="0.2">
      <c r="B35" s="11" t="s">
        <v>103</v>
      </c>
      <c r="C35" s="12">
        <v>19282000</v>
      </c>
      <c r="D35" s="12">
        <v>92996000</v>
      </c>
      <c r="E35" s="12">
        <v>208981000</v>
      </c>
      <c r="F35" s="12">
        <v>273978000</v>
      </c>
      <c r="G35" s="12">
        <v>231976000</v>
      </c>
      <c r="H35" s="12">
        <v>464700000</v>
      </c>
      <c r="I35" s="12">
        <v>717900000</v>
      </c>
      <c r="J35" s="12">
        <v>834408000</v>
      </c>
      <c r="K35" s="12">
        <v>1378073000</v>
      </c>
      <c r="L35" s="12">
        <v>1460000000</v>
      </c>
      <c r="M35" s="12">
        <v>1343000000</v>
      </c>
      <c r="N35" s="12">
        <v>1491000000</v>
      </c>
      <c r="O35" s="12">
        <v>2593000000</v>
      </c>
      <c r="P35" s="12">
        <v>3075000000</v>
      </c>
    </row>
    <row r="36" spans="2:63" x14ac:dyDescent="0.2">
      <c r="B36" s="11" t="s">
        <v>104</v>
      </c>
      <c r="C36" s="12">
        <v>42150000</v>
      </c>
      <c r="D36" s="12">
        <v>84573000</v>
      </c>
      <c r="E36" s="12">
        <v>104102000</v>
      </c>
      <c r="F36" s="12">
        <v>150372000</v>
      </c>
      <c r="G36" s="12">
        <v>285569000</v>
      </c>
      <c r="H36" s="12">
        <v>603660000</v>
      </c>
      <c r="I36" s="12">
        <v>922232000</v>
      </c>
      <c r="J36" s="12">
        <v>1432189000</v>
      </c>
      <c r="K36" s="12">
        <v>2476500000</v>
      </c>
      <c r="L36" s="12">
        <v>2970000000</v>
      </c>
      <c r="M36" s="12">
        <v>2795000000</v>
      </c>
      <c r="N36" s="12">
        <v>3145000000</v>
      </c>
      <c r="O36" s="12">
        <v>4490000000</v>
      </c>
      <c r="P36" s="12">
        <v>4122000000</v>
      </c>
    </row>
    <row r="37" spans="2:63" x14ac:dyDescent="0.2">
      <c r="B37" s="9" t="s">
        <v>105</v>
      </c>
      <c r="C37" s="12">
        <f>C35+C36</f>
        <v>61432000</v>
      </c>
      <c r="D37" s="12">
        <f t="shared" ref="D37:P37" si="17">D35+D36</f>
        <v>177569000</v>
      </c>
      <c r="E37" s="12">
        <f t="shared" si="17"/>
        <v>313083000</v>
      </c>
      <c r="F37" s="12">
        <f t="shared" si="17"/>
        <v>424350000</v>
      </c>
      <c r="G37" s="12">
        <f t="shared" si="17"/>
        <v>517545000</v>
      </c>
      <c r="H37" s="12">
        <f t="shared" si="17"/>
        <v>1068360000</v>
      </c>
      <c r="I37" s="12">
        <f t="shared" si="17"/>
        <v>1640132000</v>
      </c>
      <c r="J37" s="12">
        <f t="shared" si="17"/>
        <v>2266597000</v>
      </c>
      <c r="K37" s="12">
        <f t="shared" si="17"/>
        <v>3854573000</v>
      </c>
      <c r="L37" s="12">
        <f t="shared" ref="L37" si="18">L35+L36</f>
        <v>4430000000</v>
      </c>
      <c r="M37" s="12">
        <f t="shared" ref="M37" si="19">M35+M36</f>
        <v>4138000000</v>
      </c>
      <c r="N37" s="12">
        <f t="shared" ref="N37" si="20">N35+N36</f>
        <v>4636000000</v>
      </c>
      <c r="O37" s="12">
        <f t="shared" si="17"/>
        <v>7083000000</v>
      </c>
      <c r="P37" s="12">
        <f t="shared" si="17"/>
        <v>7197000000</v>
      </c>
      <c r="Q37" s="13">
        <f>P37*Q63+P37</f>
        <v>8276550000</v>
      </c>
      <c r="R37" s="13">
        <f t="shared" ref="R37:AH37" si="21">Q37*R63+Q37</f>
        <v>9518032500</v>
      </c>
      <c r="S37" s="13">
        <f t="shared" si="21"/>
        <v>10945737375</v>
      </c>
      <c r="T37" s="13">
        <f t="shared" si="21"/>
        <v>12587597981.25</v>
      </c>
      <c r="U37" s="13">
        <f t="shared" si="21"/>
        <v>12965225920.6875</v>
      </c>
      <c r="V37" s="13">
        <f t="shared" si="21"/>
        <v>13354182698.308125</v>
      </c>
      <c r="W37" s="13">
        <f t="shared" si="21"/>
        <v>13754808179.257368</v>
      </c>
      <c r="X37" s="13">
        <f t="shared" si="21"/>
        <v>14167452424.63509</v>
      </c>
      <c r="Y37" s="13">
        <f t="shared" si="21"/>
        <v>14592475997.374142</v>
      </c>
      <c r="Z37" s="13">
        <f t="shared" si="21"/>
        <v>15030250277.295366</v>
      </c>
      <c r="AA37" s="13">
        <f t="shared" si="21"/>
        <v>15481157785.614227</v>
      </c>
      <c r="AB37" s="13">
        <f t="shared" si="21"/>
        <v>15945592519.182653</v>
      </c>
      <c r="AC37" s="13">
        <f t="shared" si="21"/>
        <v>16423960294.758133</v>
      </c>
      <c r="AD37" s="13">
        <f t="shared" si="21"/>
        <v>16916679103.600878</v>
      </c>
      <c r="AE37" s="13">
        <f t="shared" si="21"/>
        <v>17424179476.708904</v>
      </c>
      <c r="AF37" s="13">
        <f t="shared" si="21"/>
        <v>17946904861.01017</v>
      </c>
      <c r="AG37" s="13">
        <f t="shared" si="21"/>
        <v>18485312006.840477</v>
      </c>
      <c r="AH37" s="13">
        <f t="shared" si="21"/>
        <v>19039871367.045692</v>
      </c>
    </row>
    <row r="38" spans="2:63" x14ac:dyDescent="0.2">
      <c r="B38" s="9" t="s">
        <v>114</v>
      </c>
      <c r="C38" s="15">
        <f>C34-C37</f>
        <v>-51897000</v>
      </c>
      <c r="D38" s="15">
        <f>D34-D37</f>
        <v>-146838000</v>
      </c>
      <c r="E38" s="15">
        <f>E34-E37</f>
        <v>-251488000</v>
      </c>
      <c r="F38" s="15">
        <f>F34-F37</f>
        <v>-394283000</v>
      </c>
      <c r="G38" s="15">
        <f t="shared" ref="G38:P38" si="22">G34-G37</f>
        <v>-61283000</v>
      </c>
      <c r="H38" s="15">
        <f t="shared" si="22"/>
        <v>-186689000</v>
      </c>
      <c r="I38" s="15">
        <f t="shared" si="22"/>
        <v>-716629000</v>
      </c>
      <c r="J38" s="15">
        <f t="shared" si="22"/>
        <v>-667340000</v>
      </c>
      <c r="K38" s="15">
        <f t="shared" si="22"/>
        <v>-1632086000</v>
      </c>
      <c r="L38" s="15">
        <f t="shared" si="22"/>
        <v>-388000000</v>
      </c>
      <c r="M38" s="15">
        <f t="shared" si="22"/>
        <v>-69000000</v>
      </c>
      <c r="N38" s="15">
        <f t="shared" si="22"/>
        <v>1994000000</v>
      </c>
      <c r="O38" s="15">
        <f t="shared" si="22"/>
        <v>6523000000</v>
      </c>
      <c r="P38" s="15">
        <f t="shared" si="22"/>
        <v>13656000000</v>
      </c>
      <c r="Q38" s="14">
        <f>Q34-Q37</f>
        <v>23002950000</v>
      </c>
      <c r="R38" s="14">
        <f t="shared" ref="R38:AH38" si="23">R34-R37</f>
        <v>29581342500</v>
      </c>
      <c r="S38" s="14">
        <f t="shared" si="23"/>
        <v>35973512625</v>
      </c>
      <c r="T38" s="14">
        <f t="shared" si="23"/>
        <v>39023577018.75</v>
      </c>
      <c r="U38" s="14">
        <f t="shared" si="23"/>
        <v>44226653329.3125</v>
      </c>
      <c r="V38" s="14">
        <f t="shared" si="23"/>
        <v>47670446654.191879</v>
      </c>
      <c r="W38" s="14">
        <f t="shared" si="23"/>
        <v>51302233527.817642</v>
      </c>
      <c r="X38" s="14">
        <f t="shared" si="23"/>
        <v>55131040946.612167</v>
      </c>
      <c r="Y38" s="14">
        <f t="shared" si="23"/>
        <v>59166302204.488922</v>
      </c>
      <c r="Z38" s="14">
        <f t="shared" si="23"/>
        <v>63417874501.281143</v>
      </c>
      <c r="AA38" s="14">
        <f t="shared" si="23"/>
        <v>67896057296.20343</v>
      </c>
      <c r="AB38" s="14">
        <f t="shared" si="23"/>
        <v>72611611437.368713</v>
      </c>
      <c r="AC38" s="14">
        <f t="shared" si="23"/>
        <v>77575779099.660172</v>
      </c>
      <c r="AD38" s="14">
        <f t="shared" si="23"/>
        <v>82800304564.587204</v>
      </c>
      <c r="AE38" s="14">
        <f t="shared" si="23"/>
        <v>88297455877.13942</v>
      </c>
      <c r="AF38" s="14">
        <f t="shared" si="23"/>
        <v>94080047416.092896</v>
      </c>
      <c r="AG38" s="14">
        <f t="shared" si="23"/>
        <v>100161463415.72049</v>
      </c>
      <c r="AH38" s="14">
        <f t="shared" si="23"/>
        <v>106555682478.4227</v>
      </c>
    </row>
    <row r="39" spans="2:63" x14ac:dyDescent="0.2">
      <c r="B39" s="11" t="s">
        <v>106</v>
      </c>
      <c r="C39" s="12">
        <v>159000</v>
      </c>
      <c r="D39" s="12">
        <v>258000</v>
      </c>
      <c r="E39" s="12">
        <v>255000</v>
      </c>
      <c r="F39" s="12">
        <v>288000</v>
      </c>
      <c r="G39" s="12">
        <v>189000</v>
      </c>
      <c r="H39" s="12">
        <v>1126000</v>
      </c>
      <c r="I39" s="12">
        <v>1508000</v>
      </c>
      <c r="J39" s="12">
        <v>8530000</v>
      </c>
      <c r="K39" s="12">
        <v>19686000</v>
      </c>
      <c r="L39" s="12">
        <v>24000000</v>
      </c>
      <c r="M39" s="12">
        <v>44000000</v>
      </c>
      <c r="N39" s="12">
        <v>30000000</v>
      </c>
      <c r="O39" s="12">
        <v>56000000</v>
      </c>
      <c r="P39" s="12">
        <v>297000000</v>
      </c>
    </row>
    <row r="40" spans="2:63" x14ac:dyDescent="0.2">
      <c r="B40" s="11" t="s">
        <v>107</v>
      </c>
      <c r="C40" s="12">
        <v>-2531000</v>
      </c>
      <c r="D40" s="12">
        <v>-992000</v>
      </c>
      <c r="E40" s="12">
        <v>-43000</v>
      </c>
      <c r="F40" s="12">
        <v>-254000</v>
      </c>
      <c r="G40" s="12">
        <v>-32934000</v>
      </c>
      <c r="H40" s="12">
        <v>-100886000</v>
      </c>
      <c r="I40" s="12">
        <v>-118851000</v>
      </c>
      <c r="J40" s="12">
        <v>-198810000</v>
      </c>
      <c r="K40" s="12">
        <v>-471259000</v>
      </c>
      <c r="L40" s="12">
        <v>-663000000</v>
      </c>
      <c r="M40" s="12">
        <v>-685000000</v>
      </c>
      <c r="N40" s="12">
        <v>-748000000</v>
      </c>
      <c r="O40" s="12">
        <v>-371000000</v>
      </c>
      <c r="P40" s="12">
        <v>-191000000</v>
      </c>
    </row>
    <row r="41" spans="2:63" x14ac:dyDescent="0.2">
      <c r="B41" s="11" t="s">
        <v>108</v>
      </c>
      <c r="C41" s="12">
        <v>-1445000</v>
      </c>
      <c r="D41" s="12">
        <v>-6583000</v>
      </c>
      <c r="E41" s="12">
        <v>-2646000</v>
      </c>
      <c r="F41" s="12">
        <v>-1828000</v>
      </c>
      <c r="G41" s="12">
        <v>22602000</v>
      </c>
      <c r="H41" s="12">
        <v>1813000</v>
      </c>
      <c r="I41" s="12">
        <v>-41652000</v>
      </c>
      <c r="J41" s="12">
        <v>111272000</v>
      </c>
      <c r="K41" s="12">
        <v>-125373000</v>
      </c>
      <c r="L41" s="12">
        <v>22000000</v>
      </c>
      <c r="M41" s="12">
        <v>45000000</v>
      </c>
      <c r="N41" s="12">
        <v>-122000000</v>
      </c>
      <c r="O41" s="12">
        <v>135000000</v>
      </c>
      <c r="P41" s="12">
        <v>-43000000</v>
      </c>
    </row>
    <row r="42" spans="2:63" x14ac:dyDescent="0.2">
      <c r="B42" s="11" t="s">
        <v>109</v>
      </c>
      <c r="C42" s="12">
        <f>C38+C39+C40+C41</f>
        <v>-55714000</v>
      </c>
      <c r="D42" s="12">
        <f t="shared" ref="D42:P42" si="24">D38+D39+D40+D41</f>
        <v>-154155000</v>
      </c>
      <c r="E42" s="12">
        <f t="shared" si="24"/>
        <v>-253922000</v>
      </c>
      <c r="F42" s="12">
        <f t="shared" si="24"/>
        <v>-396077000</v>
      </c>
      <c r="G42" s="12">
        <f t="shared" si="24"/>
        <v>-71426000</v>
      </c>
      <c r="H42" s="12">
        <f t="shared" si="24"/>
        <v>-284636000</v>
      </c>
      <c r="I42" s="12">
        <f t="shared" si="24"/>
        <v>-875624000</v>
      </c>
      <c r="J42" s="12">
        <f t="shared" si="24"/>
        <v>-746348000</v>
      </c>
      <c r="K42" s="12">
        <f t="shared" si="24"/>
        <v>-2209032000</v>
      </c>
      <c r="L42" s="12">
        <f t="shared" si="24"/>
        <v>-1005000000</v>
      </c>
      <c r="M42" s="12">
        <f t="shared" si="24"/>
        <v>-665000000</v>
      </c>
      <c r="N42" s="12">
        <f t="shared" si="24"/>
        <v>1154000000</v>
      </c>
      <c r="O42" s="12">
        <f t="shared" si="24"/>
        <v>6343000000</v>
      </c>
      <c r="P42" s="12">
        <f t="shared" si="24"/>
        <v>13719000000</v>
      </c>
      <c r="Q42" s="13">
        <f>Q38+Q39+Q40+Q41</f>
        <v>23002950000</v>
      </c>
      <c r="R42" s="13">
        <f t="shared" ref="R42:AH42" si="25">R38+R39+R40+R41</f>
        <v>29581342500</v>
      </c>
      <c r="S42" s="13">
        <f t="shared" si="25"/>
        <v>35973512625</v>
      </c>
      <c r="T42" s="13">
        <f t="shared" si="25"/>
        <v>39023577018.75</v>
      </c>
      <c r="U42" s="13">
        <f t="shared" si="25"/>
        <v>44226653329.3125</v>
      </c>
      <c r="V42" s="13">
        <f t="shared" si="25"/>
        <v>47670446654.191879</v>
      </c>
      <c r="W42" s="13">
        <f t="shared" si="25"/>
        <v>51302233527.817642</v>
      </c>
      <c r="X42" s="13">
        <f t="shared" si="25"/>
        <v>55131040946.612167</v>
      </c>
      <c r="Y42" s="13">
        <f t="shared" si="25"/>
        <v>59166302204.488922</v>
      </c>
      <c r="Z42" s="13">
        <f t="shared" si="25"/>
        <v>63417874501.281143</v>
      </c>
      <c r="AA42" s="13">
        <f t="shared" si="25"/>
        <v>67896057296.20343</v>
      </c>
      <c r="AB42" s="13">
        <f t="shared" si="25"/>
        <v>72611611437.368713</v>
      </c>
      <c r="AC42" s="13">
        <f t="shared" si="25"/>
        <v>77575779099.660172</v>
      </c>
      <c r="AD42" s="13">
        <f t="shared" si="25"/>
        <v>82800304564.587204</v>
      </c>
      <c r="AE42" s="13">
        <f t="shared" si="25"/>
        <v>88297455877.13942</v>
      </c>
      <c r="AF42" s="13">
        <f t="shared" si="25"/>
        <v>94080047416.092896</v>
      </c>
      <c r="AG42" s="13">
        <f t="shared" si="25"/>
        <v>100161463415.72049</v>
      </c>
      <c r="AH42" s="13">
        <f t="shared" si="25"/>
        <v>106555682478.4227</v>
      </c>
    </row>
    <row r="43" spans="2:63" x14ac:dyDescent="0.2">
      <c r="B43" s="11" t="s">
        <v>110</v>
      </c>
      <c r="C43" s="12">
        <v>-26000</v>
      </c>
      <c r="D43" s="12">
        <v>-173000</v>
      </c>
      <c r="E43" s="12">
        <v>-489000</v>
      </c>
      <c r="F43" s="12">
        <v>-136000</v>
      </c>
      <c r="G43" s="12">
        <v>-2588000</v>
      </c>
      <c r="H43" s="12">
        <v>-9404000</v>
      </c>
      <c r="I43" s="12">
        <v>-13039000</v>
      </c>
      <c r="J43" s="12">
        <v>-26698000</v>
      </c>
      <c r="K43" s="12">
        <v>-31546000</v>
      </c>
      <c r="L43" s="12">
        <v>-58000000</v>
      </c>
      <c r="M43" s="12">
        <v>-110000000</v>
      </c>
      <c r="N43" s="12">
        <v>-292000000</v>
      </c>
      <c r="O43" s="12">
        <v>-699000000</v>
      </c>
      <c r="P43" s="12">
        <v>-1132000000</v>
      </c>
      <c r="Q43" s="12">
        <f>-(Q42*Q50)</f>
        <v>-3450442500</v>
      </c>
      <c r="R43" s="12">
        <f t="shared" ref="R43:AH43" si="26">-(R42*R50)</f>
        <v>-5916268500</v>
      </c>
      <c r="S43" s="12">
        <f t="shared" si="26"/>
        <v>-7194702525</v>
      </c>
      <c r="T43" s="12">
        <f t="shared" si="26"/>
        <v>-7804715403.75</v>
      </c>
      <c r="U43" s="12">
        <f t="shared" si="26"/>
        <v>-8845330665.8625011</v>
      </c>
      <c r="V43" s="12">
        <f t="shared" si="26"/>
        <v>-9534089330.838377</v>
      </c>
      <c r="W43" s="12">
        <f t="shared" si="26"/>
        <v>-10260446705.563528</v>
      </c>
      <c r="X43" s="12">
        <f t="shared" si="26"/>
        <v>-11026208189.322433</v>
      </c>
      <c r="Y43" s="12">
        <f t="shared" si="26"/>
        <v>-11833260440.897785</v>
      </c>
      <c r="Z43" s="12">
        <f t="shared" si="26"/>
        <v>-12683574900.256229</v>
      </c>
      <c r="AA43" s="12">
        <f t="shared" si="26"/>
        <v>-13579211459.240686</v>
      </c>
      <c r="AB43" s="12">
        <f t="shared" si="26"/>
        <v>-14522322287.473743</v>
      </c>
      <c r="AC43" s="12">
        <f t="shared" si="26"/>
        <v>-15515155819.932035</v>
      </c>
      <c r="AD43" s="12">
        <f t="shared" si="26"/>
        <v>-16560060912.917442</v>
      </c>
      <c r="AE43" s="12">
        <f t="shared" si="26"/>
        <v>-17659491175.427883</v>
      </c>
      <c r="AF43" s="12">
        <f t="shared" si="26"/>
        <v>-18816009483.218578</v>
      </c>
      <c r="AG43" s="12">
        <f t="shared" si="26"/>
        <v>-20032292683.1441</v>
      </c>
      <c r="AH43" s="12">
        <f t="shared" si="26"/>
        <v>-21311136495.68454</v>
      </c>
    </row>
    <row r="44" spans="2:63" x14ac:dyDescent="0.2">
      <c r="B44" s="10" t="s">
        <v>111</v>
      </c>
      <c r="C44" s="16">
        <f>C42+C43</f>
        <v>-55740000</v>
      </c>
      <c r="D44" s="16">
        <f t="shared" ref="D44:P44" si="27">D42+D43</f>
        <v>-154328000</v>
      </c>
      <c r="E44" s="16">
        <f t="shared" si="27"/>
        <v>-254411000</v>
      </c>
      <c r="F44" s="16">
        <f t="shared" si="27"/>
        <v>-396213000</v>
      </c>
      <c r="G44" s="16">
        <f t="shared" si="27"/>
        <v>-74014000</v>
      </c>
      <c r="H44" s="16">
        <f t="shared" si="27"/>
        <v>-294040000</v>
      </c>
      <c r="I44" s="16">
        <f t="shared" si="27"/>
        <v>-888663000</v>
      </c>
      <c r="J44" s="16">
        <f t="shared" si="27"/>
        <v>-773046000</v>
      </c>
      <c r="K44" s="16">
        <f t="shared" si="27"/>
        <v>-2240578000</v>
      </c>
      <c r="L44" s="16">
        <f t="shared" si="27"/>
        <v>-1063000000</v>
      </c>
      <c r="M44" s="16">
        <f t="shared" si="27"/>
        <v>-775000000</v>
      </c>
      <c r="N44" s="16">
        <f t="shared" si="27"/>
        <v>862000000</v>
      </c>
      <c r="O44" s="16">
        <f t="shared" si="27"/>
        <v>5644000000</v>
      </c>
      <c r="P44" s="16">
        <f t="shared" si="27"/>
        <v>12587000000</v>
      </c>
      <c r="Q44" s="16">
        <f>Q42+Q43</f>
        <v>19552507500</v>
      </c>
      <c r="R44" s="16">
        <f t="shared" ref="R44:AH44" si="28">R42+R43</f>
        <v>23665074000</v>
      </c>
      <c r="S44" s="16">
        <f t="shared" si="28"/>
        <v>28778810100</v>
      </c>
      <c r="T44" s="16">
        <f t="shared" si="28"/>
        <v>31218861615</v>
      </c>
      <c r="U44" s="16">
        <f t="shared" si="28"/>
        <v>35381322663.449997</v>
      </c>
      <c r="V44" s="16">
        <f t="shared" si="28"/>
        <v>38136357323.3535</v>
      </c>
      <c r="W44" s="16">
        <f t="shared" si="28"/>
        <v>41041786822.254112</v>
      </c>
      <c r="X44" s="16">
        <f t="shared" si="28"/>
        <v>44104832757.289734</v>
      </c>
      <c r="Y44" s="16">
        <f t="shared" si="28"/>
        <v>47333041763.591141</v>
      </c>
      <c r="Z44" s="16">
        <f t="shared" si="28"/>
        <v>50734299601.024918</v>
      </c>
      <c r="AA44" s="16">
        <f t="shared" si="28"/>
        <v>54316845836.962746</v>
      </c>
      <c r="AB44" s="16">
        <f t="shared" si="28"/>
        <v>58089289149.894974</v>
      </c>
      <c r="AC44" s="16">
        <f t="shared" si="28"/>
        <v>62060623279.728134</v>
      </c>
      <c r="AD44" s="16">
        <f t="shared" si="28"/>
        <v>66240243651.669762</v>
      </c>
      <c r="AE44" s="16">
        <f t="shared" si="28"/>
        <v>70637964701.711533</v>
      </c>
      <c r="AF44" s="16">
        <f t="shared" si="28"/>
        <v>75264037932.874313</v>
      </c>
      <c r="AG44" s="16">
        <f t="shared" si="28"/>
        <v>80129170732.576385</v>
      </c>
      <c r="AH44" s="16">
        <f t="shared" si="28"/>
        <v>85244545982.738159</v>
      </c>
      <c r="AI44" s="13">
        <f>AH44*F60+AH44</f>
        <v>84392100522.910782</v>
      </c>
      <c r="AJ44" s="13">
        <f>AI44*F60+AI44</f>
        <v>83548179517.681671</v>
      </c>
      <c r="AK44" s="13">
        <f>AJ44*F60+AJ44</f>
        <v>82712697722.504852</v>
      </c>
      <c r="AL44" s="13">
        <f>AK44*F60+AK44</f>
        <v>81885570745.2798</v>
      </c>
      <c r="AM44" s="13">
        <f>AL44*F60+AL44</f>
        <v>81066715037.826996</v>
      </c>
      <c r="AN44" s="13">
        <f>AM44*F60+AM44</f>
        <v>80256047887.44873</v>
      </c>
      <c r="AO44" s="13">
        <f>AN44*F60+AN44</f>
        <v>79453487408.574249</v>
      </c>
      <c r="AP44" s="13">
        <f>AO44*F60+AO44</f>
        <v>78658952534.48851</v>
      </c>
      <c r="AQ44" s="13">
        <f>AP44*F60+AP44</f>
        <v>77872363009.143631</v>
      </c>
      <c r="AR44" s="13">
        <f>AQ44*F60+AQ44</f>
        <v>77093639379.0522</v>
      </c>
      <c r="AS44" s="13">
        <f>AR44*F60+AR44</f>
        <v>76322702985.261673</v>
      </c>
      <c r="AT44" s="13">
        <f>AS44*F60+AS44</f>
        <v>75559475955.409058</v>
      </c>
      <c r="AU44" s="13">
        <f>AT44*F60+AT44</f>
        <v>74803881195.854965</v>
      </c>
      <c r="AV44" s="13">
        <f>AU44*F60+AU44</f>
        <v>74055842383.896408</v>
      </c>
      <c r="AW44" s="13">
        <f>AV44*F60+AV44</f>
        <v>73315283960.057449</v>
      </c>
      <c r="AX44" s="13">
        <f>AW44*F60+AW44</f>
        <v>72582131120.456879</v>
      </c>
      <c r="AY44" s="13">
        <f>AX44*F60+AX44</f>
        <v>71856309809.252304</v>
      </c>
      <c r="AZ44" s="13">
        <f>AY44*F60+AY44</f>
        <v>71137746711.159775</v>
      </c>
      <c r="BA44" s="13">
        <f>AZ44*F60+AZ44</f>
        <v>70426369244.048172</v>
      </c>
      <c r="BB44" s="13">
        <f>BA44*F60+BA44</f>
        <v>69722105551.607697</v>
      </c>
      <c r="BC44" s="13">
        <f>BB44*F60+BB44</f>
        <v>69024884496.091614</v>
      </c>
      <c r="BD44" s="13">
        <f>BC44*F60+BC44</f>
        <v>68334635651.130699</v>
      </c>
      <c r="BE44" s="13">
        <f>BD44*F60+BD44</f>
        <v>67651289294.619392</v>
      </c>
      <c r="BF44" s="13">
        <f>BE44*F60+BE44</f>
        <v>66974776401.673195</v>
      </c>
      <c r="BG44" s="13">
        <f>BF44*F60+BF44</f>
        <v>66305028637.656464</v>
      </c>
      <c r="BH44" s="13">
        <f>BG44*F60+BG44</f>
        <v>65641978351.2799</v>
      </c>
      <c r="BI44" s="13">
        <f>BH44*F60+BH44</f>
        <v>64985558567.767097</v>
      </c>
      <c r="BJ44" s="13">
        <f>BI44*F60+BI44</f>
        <v>64335702982.089424</v>
      </c>
      <c r="BK44" s="13">
        <f>BJ44*F60+BJ44</f>
        <v>63692345952.268532</v>
      </c>
    </row>
    <row r="45" spans="2:63" x14ac:dyDescent="0.2">
      <c r="B45" s="11" t="s">
        <v>112</v>
      </c>
      <c r="F45" s="13">
        <f>F44/F46</f>
        <v>-3.690880270095755</v>
      </c>
      <c r="G45" s="13">
        <f t="shared" ref="G45:AH45" si="29">G44/G46</f>
        <v>-0.61977159305784135</v>
      </c>
      <c r="H45" s="13">
        <f t="shared" si="29"/>
        <v>-2.3610209666835966</v>
      </c>
      <c r="I45" s="13"/>
      <c r="J45" s="13"/>
      <c r="K45" s="13"/>
      <c r="L45" s="13"/>
      <c r="M45" s="13"/>
      <c r="N45" s="13"/>
      <c r="O45" s="13"/>
      <c r="P45" s="13"/>
      <c r="Q45" s="13">
        <f t="shared" si="29"/>
        <v>5.6266208633093528</v>
      </c>
      <c r="R45" s="13">
        <f t="shared" si="29"/>
        <v>6.8100932374100722</v>
      </c>
      <c r="S45" s="13">
        <f t="shared" si="29"/>
        <v>8.2816719712230213</v>
      </c>
      <c r="T45" s="13">
        <f t="shared" si="29"/>
        <v>8.9838450690647473</v>
      </c>
      <c r="U45" s="13">
        <f t="shared" si="29"/>
        <v>10.181675586604316</v>
      </c>
      <c r="V45" s="13">
        <f t="shared" si="29"/>
        <v>10.97449131607295</v>
      </c>
      <c r="W45" s="13">
        <f t="shared" si="29"/>
        <v>11.810586135900463</v>
      </c>
      <c r="X45" s="13">
        <f t="shared" si="29"/>
        <v>12.692038203536613</v>
      </c>
      <c r="Y45" s="13">
        <f t="shared" si="29"/>
        <v>13.621019212544214</v>
      </c>
      <c r="Z45" s="13">
        <f t="shared" si="29"/>
        <v>14.599798446338106</v>
      </c>
      <c r="AA45" s="13">
        <f t="shared" si="29"/>
        <v>15.630747003442517</v>
      </c>
      <c r="AB45" s="13">
        <f t="shared" si="29"/>
        <v>16.716342201408626</v>
      </c>
      <c r="AC45" s="13">
        <f t="shared" si="29"/>
        <v>17.859172166828241</v>
      </c>
      <c r="AD45" s="13">
        <f t="shared" si="29"/>
        <v>19.061940619185542</v>
      </c>
      <c r="AE45" s="13">
        <f t="shared" si="29"/>
        <v>20.327471856607634</v>
      </c>
      <c r="AF45" s="13">
        <f t="shared" si="29"/>
        <v>21.658715951906277</v>
      </c>
      <c r="AG45" s="13">
        <f t="shared" si="29"/>
        <v>23.05875416764788</v>
      </c>
      <c r="AH45" s="13">
        <f t="shared" si="29"/>
        <v>24.530804599349111</v>
      </c>
    </row>
    <row r="46" spans="2:63" x14ac:dyDescent="0.2">
      <c r="B46" s="11" t="s">
        <v>113</v>
      </c>
      <c r="F46" s="17">
        <v>107349188</v>
      </c>
      <c r="G46" s="17">
        <v>119421414</v>
      </c>
      <c r="H46" s="17">
        <v>124539343</v>
      </c>
      <c r="I46" s="17">
        <v>128202000</v>
      </c>
      <c r="J46" s="17">
        <v>144212000</v>
      </c>
      <c r="K46" s="17">
        <v>165758000</v>
      </c>
      <c r="L46" s="17">
        <v>853000000</v>
      </c>
      <c r="M46" s="17">
        <v>887000000</v>
      </c>
      <c r="N46" s="17">
        <v>1083000000</v>
      </c>
      <c r="O46" s="17">
        <v>2959000000</v>
      </c>
      <c r="P46" s="17">
        <v>3130000000</v>
      </c>
      <c r="Q46" s="17">
        <v>3475000000</v>
      </c>
      <c r="R46" s="17">
        <v>3475000000</v>
      </c>
      <c r="S46" s="17">
        <v>3475000000</v>
      </c>
      <c r="T46" s="17">
        <v>3475000000</v>
      </c>
      <c r="U46" s="17">
        <v>3475000000</v>
      </c>
      <c r="V46" s="17">
        <v>3475000000</v>
      </c>
      <c r="W46" s="17">
        <v>3475000000</v>
      </c>
      <c r="X46" s="17">
        <v>3475000000</v>
      </c>
      <c r="Y46" s="17">
        <v>3475000000</v>
      </c>
      <c r="Z46" s="17">
        <v>3475000000</v>
      </c>
      <c r="AA46" s="17">
        <v>3475000000</v>
      </c>
      <c r="AB46" s="17">
        <v>3475000000</v>
      </c>
      <c r="AC46" s="17">
        <v>3475000000</v>
      </c>
      <c r="AD46" s="17">
        <v>3475000000</v>
      </c>
      <c r="AE46" s="17">
        <v>3475000000</v>
      </c>
      <c r="AF46" s="17">
        <v>3475000000</v>
      </c>
      <c r="AG46" s="17">
        <v>3475000000</v>
      </c>
      <c r="AH46" s="17">
        <v>3475000000</v>
      </c>
    </row>
    <row r="48" spans="2:63" x14ac:dyDescent="0.2">
      <c r="B48" t="s">
        <v>124</v>
      </c>
      <c r="D48" s="3">
        <f>D28/C28-1</f>
        <v>4.2887898305387528E-2</v>
      </c>
      <c r="E48" s="3">
        <f t="shared" ref="E48:P48" si="30">E28/D28-1</f>
        <v>0.74948605495785658</v>
      </c>
      <c r="F48" s="3">
        <f t="shared" si="30"/>
        <v>1.0233644402228728</v>
      </c>
      <c r="G48" s="3">
        <f t="shared" si="30"/>
        <v>3.8722728768608317</v>
      </c>
      <c r="H48" s="3">
        <f t="shared" si="30"/>
        <v>0.58845907814070642</v>
      </c>
      <c r="I48" s="3">
        <f t="shared" si="30"/>
        <v>0.26503272306147285</v>
      </c>
      <c r="J48" s="3">
        <f t="shared" si="30"/>
        <v>0.73012574069611524</v>
      </c>
      <c r="K48" s="3">
        <f t="shared" si="30"/>
        <v>0.67978989539054413</v>
      </c>
      <c r="L48" s="3">
        <f t="shared" si="30"/>
        <v>0.8251088061988896</v>
      </c>
      <c r="M48" s="3">
        <f t="shared" si="30"/>
        <v>0.14524020315921904</v>
      </c>
      <c r="N48" s="3">
        <f t="shared" si="30"/>
        <v>0.28309870615998056</v>
      </c>
      <c r="O48" s="3">
        <f t="shared" si="30"/>
        <v>0.70671613394216126</v>
      </c>
      <c r="P48" s="3">
        <f t="shared" si="30"/>
        <v>0.51351652639206291</v>
      </c>
      <c r="Q48" s="3">
        <v>0.5</v>
      </c>
      <c r="R48" s="3">
        <v>0.25</v>
      </c>
      <c r="S48" s="3">
        <v>0.2</v>
      </c>
      <c r="T48" s="3">
        <v>0.1</v>
      </c>
      <c r="U48" s="28">
        <v>0.05</v>
      </c>
      <c r="V48" s="28">
        <v>0.04</v>
      </c>
      <c r="W48" s="28">
        <v>0.04</v>
      </c>
      <c r="X48" s="28">
        <v>0.04</v>
      </c>
      <c r="Y48" s="28">
        <v>0.04</v>
      </c>
      <c r="Z48" s="28">
        <v>0.04</v>
      </c>
      <c r="AA48" s="28">
        <v>0.04</v>
      </c>
      <c r="AB48" s="28">
        <v>0.04</v>
      </c>
      <c r="AC48" s="28">
        <v>0.04</v>
      </c>
      <c r="AD48" s="28">
        <v>0.04</v>
      </c>
      <c r="AE48" s="28">
        <v>0.04</v>
      </c>
      <c r="AF48" s="28">
        <v>0.04</v>
      </c>
      <c r="AG48" s="28">
        <v>0.04</v>
      </c>
      <c r="AH48" s="28">
        <v>0.04</v>
      </c>
    </row>
    <row r="49" spans="2:34" x14ac:dyDescent="0.2">
      <c r="B49" t="s">
        <v>125</v>
      </c>
      <c r="C49" s="3">
        <f>C34/C28</f>
        <v>8.5177277721697656E-2</v>
      </c>
      <c r="D49" s="3">
        <f t="shared" ref="D49:P49" si="31">D34/D28</f>
        <v>0.26323408483519495</v>
      </c>
      <c r="E49" s="3">
        <f t="shared" si="31"/>
        <v>0.30157851959929888</v>
      </c>
      <c r="F49" s="3">
        <f t="shared" si="31"/>
        <v>7.2756354414696939E-2</v>
      </c>
      <c r="G49" s="3">
        <f t="shared" si="31"/>
        <v>0.22660189044328868</v>
      </c>
      <c r="H49" s="3">
        <f t="shared" si="31"/>
        <v>0.27566380978227567</v>
      </c>
      <c r="I49" s="3">
        <f t="shared" si="31"/>
        <v>0.22824945471172323</v>
      </c>
      <c r="J49" s="3">
        <f t="shared" si="31"/>
        <v>0.22846097759299397</v>
      </c>
      <c r="K49" s="3">
        <f t="shared" si="31"/>
        <v>0.18900706376042831</v>
      </c>
      <c r="L49" s="3">
        <f t="shared" si="31"/>
        <v>0.18834164298028983</v>
      </c>
      <c r="M49" s="3">
        <f t="shared" si="31"/>
        <v>0.1655545609895028</v>
      </c>
      <c r="N49" s="3">
        <f t="shared" si="31"/>
        <v>0.2102359208523592</v>
      </c>
      <c r="O49" s="3">
        <f t="shared" si="31"/>
        <v>0.25279155751258753</v>
      </c>
      <c r="P49" s="3">
        <f t="shared" si="31"/>
        <v>0.25598438535759005</v>
      </c>
      <c r="Q49" s="28">
        <f>Q34/Q28</f>
        <v>0.25598438535759005</v>
      </c>
      <c r="R49" s="28">
        <f t="shared" ref="R49:AH49" si="32">R34/R28</f>
        <v>0.25598438535759005</v>
      </c>
      <c r="S49" s="28">
        <f t="shared" si="32"/>
        <v>0.25598438535759005</v>
      </c>
      <c r="T49" s="28">
        <f t="shared" si="32"/>
        <v>0.25598438535759005</v>
      </c>
      <c r="U49" s="28">
        <f t="shared" si="32"/>
        <v>0.27015611135077883</v>
      </c>
      <c r="V49" s="28">
        <f t="shared" si="32"/>
        <v>0.27717384104932902</v>
      </c>
      <c r="W49" s="28">
        <f t="shared" si="32"/>
        <v>0.28412409257770088</v>
      </c>
      <c r="X49" s="28">
        <f t="shared" si="32"/>
        <v>0.29100751476445375</v>
      </c>
      <c r="Y49" s="28">
        <f t="shared" si="32"/>
        <v>0.2978247501994109</v>
      </c>
      <c r="Z49" s="28">
        <f t="shared" si="32"/>
        <v>0.30457643529364736</v>
      </c>
      <c r="AA49" s="28">
        <f t="shared" si="32"/>
        <v>0.31126320033890081</v>
      </c>
      <c r="AB49" s="28">
        <f t="shared" si="32"/>
        <v>0.31788566956641129</v>
      </c>
      <c r="AC49" s="28">
        <f t="shared" si="32"/>
        <v>0.32444446120519593</v>
      </c>
      <c r="AD49" s="28">
        <f t="shared" si="32"/>
        <v>0.33094018753976151</v>
      </c>
      <c r="AE49" s="28">
        <f t="shared" si="32"/>
        <v>0.33737345496726368</v>
      </c>
      <c r="AF49" s="28">
        <f t="shared" si="32"/>
        <v>0.34374486405411697</v>
      </c>
      <c r="AG49" s="28">
        <f t="shared" si="32"/>
        <v>0.35005500959205815</v>
      </c>
      <c r="AH49" s="28">
        <f t="shared" si="32"/>
        <v>0.35630448065367293</v>
      </c>
    </row>
    <row r="50" spans="2:34" x14ac:dyDescent="0.2">
      <c r="B50" s="23" t="s">
        <v>126</v>
      </c>
      <c r="C50" s="24">
        <v>0.2</v>
      </c>
      <c r="M50" s="22" t="s">
        <v>126</v>
      </c>
      <c r="N50" s="3">
        <f>-(N43/N42)</f>
        <v>0.2530329289428076</v>
      </c>
      <c r="O50" s="3">
        <f t="shared" ref="O50:P50" si="33">-(O43/O42)</f>
        <v>0.11020022071574964</v>
      </c>
      <c r="P50" s="3">
        <f t="shared" si="33"/>
        <v>8.2513302718857054E-2</v>
      </c>
      <c r="Q50" s="29">
        <v>0.15</v>
      </c>
      <c r="R50" s="29">
        <v>0.2</v>
      </c>
      <c r="S50" s="29">
        <v>0.2</v>
      </c>
      <c r="T50" s="29">
        <v>0.2</v>
      </c>
      <c r="U50" s="29">
        <v>0.2</v>
      </c>
      <c r="V50" s="29">
        <v>0.2</v>
      </c>
      <c r="W50" s="29">
        <v>0.2</v>
      </c>
      <c r="X50" s="29">
        <v>0.2</v>
      </c>
      <c r="Y50" s="29">
        <v>0.2</v>
      </c>
      <c r="Z50" s="29">
        <v>0.2</v>
      </c>
      <c r="AA50" s="29">
        <v>0.2</v>
      </c>
      <c r="AB50" s="29">
        <v>0.2</v>
      </c>
      <c r="AC50" s="29">
        <v>0.2</v>
      </c>
      <c r="AD50" s="29">
        <v>0.2</v>
      </c>
      <c r="AE50" s="29">
        <v>0.2</v>
      </c>
      <c r="AF50" s="29">
        <v>0.2</v>
      </c>
      <c r="AG50" s="29">
        <v>0.2</v>
      </c>
      <c r="AH50" s="29">
        <v>0.2</v>
      </c>
    </row>
    <row r="52" spans="2:34" x14ac:dyDescent="0.2">
      <c r="B52" s="2" t="s">
        <v>127</v>
      </c>
      <c r="C52" s="31">
        <v>0.08</v>
      </c>
      <c r="E52" s="1" t="s">
        <v>130</v>
      </c>
      <c r="F52" s="25">
        <v>170</v>
      </c>
      <c r="H52" t="s">
        <v>136</v>
      </c>
      <c r="I52" s="3">
        <f>(I25+I23)/H23-1</f>
        <v>0.17171862388312431</v>
      </c>
      <c r="J52" s="3">
        <f>(J23+J25)/(I23+I25)-1</f>
        <v>0.69762412078355007</v>
      </c>
      <c r="K52" s="3">
        <f t="shared" ref="K52:P52" si="34">(K23+K25)/(J23+J25)-1</f>
        <v>0.51813182850698647</v>
      </c>
      <c r="L52" s="3">
        <f t="shared" si="34"/>
        <v>0.92038418055656401</v>
      </c>
      <c r="M52" s="3">
        <f t="shared" si="34"/>
        <v>0.12454766405617068</v>
      </c>
      <c r="N52" s="3">
        <f t="shared" si="34"/>
        <v>0.30810239661879835</v>
      </c>
      <c r="O52" s="3">
        <f t="shared" si="34"/>
        <v>0.6803862534880305</v>
      </c>
      <c r="P52" s="3">
        <f t="shared" si="34"/>
        <v>0.52262547250202118</v>
      </c>
    </row>
    <row r="53" spans="2:34" x14ac:dyDescent="0.2">
      <c r="B53" s="2" t="s">
        <v>128</v>
      </c>
      <c r="C53" s="34">
        <f>NPV(C52,Q44:BK44)</f>
        <v>622051403187.98755</v>
      </c>
      <c r="E53" s="1" t="s">
        <v>131</v>
      </c>
      <c r="F53" s="30">
        <v>3475000000</v>
      </c>
      <c r="H53" t="s">
        <v>137</v>
      </c>
      <c r="I53" s="3"/>
      <c r="J53" s="3">
        <f t="shared" ref="J53:P53" si="35">J24/I24-1</f>
        <v>0.61050331239783184</v>
      </c>
      <c r="K53" s="3">
        <f t="shared" si="35"/>
        <v>1.1394121870539262</v>
      </c>
      <c r="L53" s="3">
        <f t="shared" si="35"/>
        <v>0.38935361596508145</v>
      </c>
      <c r="M53" s="3">
        <f t="shared" si="35"/>
        <v>0.60028756290438534</v>
      </c>
      <c r="N53" s="3">
        <f t="shared" si="35"/>
        <v>3.5938903863432126E-2</v>
      </c>
      <c r="O53" s="3">
        <f t="shared" si="35"/>
        <v>0.64874241110147435</v>
      </c>
      <c r="P53" s="3">
        <f t="shared" si="35"/>
        <v>0.60205155181483438</v>
      </c>
    </row>
    <row r="54" spans="2:34" x14ac:dyDescent="0.2">
      <c r="B54" s="2" t="s">
        <v>129</v>
      </c>
      <c r="C54" s="35">
        <f>C53/F53</f>
        <v>179.00759803970865</v>
      </c>
      <c r="E54" s="1" t="s">
        <v>132</v>
      </c>
      <c r="F54" s="25">
        <f>F52*F53</f>
        <v>590750000000</v>
      </c>
      <c r="H54" t="s">
        <v>138</v>
      </c>
      <c r="J54" s="3"/>
      <c r="K54" s="3">
        <f t="shared" ref="K54:P54" si="36">K26/J26-1</f>
        <v>5.1538198617374338</v>
      </c>
      <c r="L54" s="3">
        <f t="shared" si="36"/>
        <v>0.39303714347655494</v>
      </c>
      <c r="M54" s="3">
        <f t="shared" si="36"/>
        <v>-1.5434083601286175E-2</v>
      </c>
      <c r="N54" s="3">
        <f t="shared" si="36"/>
        <v>0.30241672109732209</v>
      </c>
      <c r="O54" s="3">
        <f t="shared" si="36"/>
        <v>0.3986960882647943</v>
      </c>
      <c r="P54" s="3">
        <f t="shared" si="36"/>
        <v>0.40157762638938688</v>
      </c>
    </row>
    <row r="55" spans="2:34" x14ac:dyDescent="0.2">
      <c r="E55" s="1" t="s">
        <v>133</v>
      </c>
      <c r="F55" s="25">
        <v>22000000000</v>
      </c>
    </row>
    <row r="56" spans="2:34" x14ac:dyDescent="0.2">
      <c r="E56" s="1" t="s">
        <v>134</v>
      </c>
      <c r="F56" s="25">
        <v>15000000000</v>
      </c>
      <c r="H56" t="s">
        <v>139</v>
      </c>
      <c r="I56" s="3">
        <f>I29/H29-1</f>
        <v>0.14281966622669762</v>
      </c>
      <c r="J56" s="3">
        <f t="shared" ref="J56:P56" si="37">J29/I29-1</f>
        <v>0.61674493906268579</v>
      </c>
      <c r="K56" s="3">
        <f t="shared" si="37"/>
        <v>0.57552552232416998</v>
      </c>
      <c r="L56" s="3">
        <f t="shared" si="37"/>
        <v>1.0352503093175978</v>
      </c>
      <c r="M56" s="3">
        <f t="shared" si="37"/>
        <v>0.16462078035949146</v>
      </c>
      <c r="N56" s="3">
        <f t="shared" si="37"/>
        <v>0.23571114875462706</v>
      </c>
      <c r="O56" s="3">
        <f t="shared" si="37"/>
        <v>0.6457656376929326</v>
      </c>
      <c r="P56" s="3">
        <f t="shared" si="37"/>
        <v>0.53012494215640915</v>
      </c>
      <c r="Q56" s="28">
        <v>0.5</v>
      </c>
      <c r="R56" s="28">
        <v>0.25</v>
      </c>
      <c r="S56" s="28">
        <v>0.2</v>
      </c>
      <c r="T56" s="28">
        <v>0.1</v>
      </c>
      <c r="U56" s="28">
        <v>0.03</v>
      </c>
      <c r="V56" s="28">
        <v>0.03</v>
      </c>
      <c r="W56" s="28">
        <v>0.03</v>
      </c>
      <c r="X56" s="28">
        <v>0.03</v>
      </c>
      <c r="Y56" s="28">
        <v>0.03</v>
      </c>
      <c r="Z56" s="28">
        <v>0.03</v>
      </c>
      <c r="AA56" s="28">
        <v>0.03</v>
      </c>
      <c r="AB56" s="28">
        <v>0.03</v>
      </c>
      <c r="AC56" s="28">
        <v>0.03</v>
      </c>
      <c r="AD56" s="28">
        <v>0.03</v>
      </c>
      <c r="AE56" s="28">
        <v>0.03</v>
      </c>
      <c r="AF56" s="28">
        <v>0.03</v>
      </c>
      <c r="AG56" s="28">
        <v>0.03</v>
      </c>
      <c r="AH56" s="28">
        <v>0.03</v>
      </c>
    </row>
    <row r="57" spans="2:34" x14ac:dyDescent="0.2">
      <c r="E57" s="1" t="s">
        <v>135</v>
      </c>
      <c r="F57" s="1"/>
      <c r="H57" t="s">
        <v>140</v>
      </c>
      <c r="J57" s="3">
        <f>J31/I31-1</f>
        <v>1.6284464706395601</v>
      </c>
      <c r="K57" s="3">
        <f t="shared" ref="K57:P57" si="38">K31/J31-1</f>
        <v>0.46936268916210566</v>
      </c>
      <c r="L57" s="3">
        <f t="shared" si="38"/>
        <v>-0.31095246701608525</v>
      </c>
      <c r="M57" s="3">
        <f t="shared" si="38"/>
        <v>-5.942622950819676E-2</v>
      </c>
      <c r="N57" s="3">
        <f t="shared" si="38"/>
        <v>0.22657952069716769</v>
      </c>
      <c r="O57" s="3">
        <f t="shared" si="38"/>
        <v>0.73712255772646529</v>
      </c>
      <c r="P57" s="3">
        <f t="shared" si="38"/>
        <v>0.54294478527607359</v>
      </c>
      <c r="Q57" s="28">
        <v>0.5</v>
      </c>
      <c r="R57" s="28">
        <v>0.25</v>
      </c>
      <c r="S57" s="28">
        <v>0.2</v>
      </c>
      <c r="T57" s="28">
        <v>0.1</v>
      </c>
      <c r="U57" s="28">
        <v>0.03</v>
      </c>
      <c r="V57" s="28">
        <v>0.03</v>
      </c>
      <c r="W57" s="28">
        <v>0.03</v>
      </c>
      <c r="X57" s="28">
        <v>0.03</v>
      </c>
      <c r="Y57" s="28">
        <v>0.03</v>
      </c>
      <c r="Z57" s="28">
        <v>0.03</v>
      </c>
      <c r="AA57" s="28">
        <v>0.03</v>
      </c>
      <c r="AB57" s="28">
        <v>0.03</v>
      </c>
      <c r="AC57" s="28">
        <v>0.03</v>
      </c>
      <c r="AD57" s="28">
        <v>0.03</v>
      </c>
      <c r="AE57" s="28">
        <v>0.03</v>
      </c>
      <c r="AF57" s="28">
        <v>0.03</v>
      </c>
      <c r="AG57" s="28">
        <v>0.03</v>
      </c>
      <c r="AH57" s="28">
        <v>0.03</v>
      </c>
    </row>
    <row r="58" spans="2:34" x14ac:dyDescent="0.2">
      <c r="H58" t="s">
        <v>141</v>
      </c>
      <c r="J58" s="3">
        <f>J30/I30-1</f>
        <v>0.64659345561507386</v>
      </c>
      <c r="K58" s="3">
        <f t="shared" ref="K58:P58" si="39">K30/J30-1</f>
        <v>1.6013139681074882</v>
      </c>
      <c r="L58" s="3">
        <f t="shared" si="39"/>
        <v>0.52967155998834836</v>
      </c>
      <c r="M58" s="3">
        <f t="shared" si="39"/>
        <v>0.47340425531914887</v>
      </c>
      <c r="N58" s="3">
        <f t="shared" si="39"/>
        <v>-3.5740072202166018E-2</v>
      </c>
      <c r="O58" s="3">
        <f t="shared" si="39"/>
        <v>0.46237364283040061</v>
      </c>
      <c r="P58" s="3">
        <f t="shared" si="39"/>
        <v>0.5053763440860215</v>
      </c>
      <c r="Q58" s="28">
        <v>0.5</v>
      </c>
      <c r="R58" s="28">
        <v>0.25</v>
      </c>
      <c r="S58" s="28">
        <v>0.2</v>
      </c>
      <c r="T58" s="28">
        <v>0.1</v>
      </c>
      <c r="U58" s="28">
        <v>0.03</v>
      </c>
      <c r="V58" s="28">
        <v>0.03</v>
      </c>
      <c r="W58" s="28">
        <v>0.03</v>
      </c>
      <c r="X58" s="28">
        <v>0.03</v>
      </c>
      <c r="Y58" s="28">
        <v>0.03</v>
      </c>
      <c r="Z58" s="28">
        <v>0.03</v>
      </c>
      <c r="AA58" s="28">
        <v>0.03</v>
      </c>
      <c r="AB58" s="28">
        <v>0.03</v>
      </c>
      <c r="AC58" s="28">
        <v>0.03</v>
      </c>
      <c r="AD58" s="28">
        <v>0.03</v>
      </c>
      <c r="AE58" s="28">
        <v>0.03</v>
      </c>
      <c r="AF58" s="28">
        <v>0.03</v>
      </c>
      <c r="AG58" s="28">
        <v>0.03</v>
      </c>
      <c r="AH58" s="28">
        <v>0.03</v>
      </c>
    </row>
    <row r="59" spans="2:34" x14ac:dyDescent="0.2">
      <c r="H59" t="s">
        <v>142</v>
      </c>
      <c r="L59" s="3">
        <f>L32/K32-1</f>
        <v>0.56082411513279018</v>
      </c>
      <c r="M59" s="3">
        <f t="shared" ref="M59:P59" si="40">M32/L32-1</f>
        <v>-1.7582417582417631E-2</v>
      </c>
      <c r="N59" s="3">
        <f t="shared" si="40"/>
        <v>0.47352721849366142</v>
      </c>
      <c r="O59" s="3">
        <f t="shared" si="40"/>
        <v>0.47672064777327927</v>
      </c>
      <c r="P59" s="3">
        <f t="shared" si="40"/>
        <v>0.24091843728581219</v>
      </c>
      <c r="Q59" s="28">
        <v>0.5</v>
      </c>
      <c r="R59" s="28">
        <v>0.25</v>
      </c>
      <c r="S59" s="28">
        <v>0.2</v>
      </c>
      <c r="T59" s="28">
        <v>0.1</v>
      </c>
      <c r="U59" s="28">
        <v>0.03</v>
      </c>
      <c r="V59" s="28">
        <v>0.03</v>
      </c>
      <c r="W59" s="28">
        <v>0.03</v>
      </c>
      <c r="X59" s="28">
        <v>0.03</v>
      </c>
      <c r="Y59" s="28">
        <v>0.03</v>
      </c>
      <c r="Z59" s="28">
        <v>0.03</v>
      </c>
      <c r="AA59" s="28">
        <v>0.03</v>
      </c>
      <c r="AB59" s="28">
        <v>0.03</v>
      </c>
      <c r="AC59" s="28">
        <v>0.03</v>
      </c>
      <c r="AD59" s="28">
        <v>0.03</v>
      </c>
      <c r="AE59" s="28">
        <v>0.03</v>
      </c>
      <c r="AF59" s="28">
        <v>0.03</v>
      </c>
      <c r="AG59" s="28">
        <v>0.03</v>
      </c>
      <c r="AH59" s="28">
        <v>0.03</v>
      </c>
    </row>
    <row r="60" spans="2:34" x14ac:dyDescent="0.2">
      <c r="E60" s="32" t="s">
        <v>146</v>
      </c>
      <c r="F60" s="33">
        <v>-0.01</v>
      </c>
    </row>
    <row r="61" spans="2:34" x14ac:dyDescent="0.2">
      <c r="H61" t="s">
        <v>143</v>
      </c>
      <c r="I61" s="3">
        <f>I35/H35-1</f>
        <v>0.54486765655261449</v>
      </c>
      <c r="J61" s="3">
        <f t="shared" ref="J61:P61" si="41">J35/I35-1</f>
        <v>0.16229001253656494</v>
      </c>
      <c r="K61" s="3">
        <f t="shared" si="41"/>
        <v>0.65155775112415037</v>
      </c>
      <c r="L61" s="3">
        <f t="shared" si="41"/>
        <v>5.9450406473387174E-2</v>
      </c>
      <c r="M61" s="3">
        <f t="shared" si="41"/>
        <v>-8.0136986301369895E-2</v>
      </c>
      <c r="N61" s="3">
        <f t="shared" si="41"/>
        <v>0.11020104244229345</v>
      </c>
      <c r="O61" s="3">
        <f t="shared" si="41"/>
        <v>0.73910127431254202</v>
      </c>
      <c r="P61" s="3">
        <f t="shared" si="41"/>
        <v>0.18588507520246811</v>
      </c>
    </row>
    <row r="62" spans="2:34" x14ac:dyDescent="0.2">
      <c r="H62" t="s">
        <v>144</v>
      </c>
      <c r="I62" s="3">
        <f>I36/H36-1</f>
        <v>0.5277341549879071</v>
      </c>
      <c r="J62" s="3">
        <f t="shared" ref="J62:P62" si="42">J36/I36-1</f>
        <v>0.55295955898298899</v>
      </c>
      <c r="K62" s="3">
        <f t="shared" si="42"/>
        <v>0.72917121972030219</v>
      </c>
      <c r="L62" s="3">
        <f t="shared" si="42"/>
        <v>0.19927316777710469</v>
      </c>
      <c r="M62" s="3">
        <f t="shared" si="42"/>
        <v>-5.8922558922558932E-2</v>
      </c>
      <c r="N62" s="3">
        <f t="shared" si="42"/>
        <v>0.12522361359570655</v>
      </c>
      <c r="O62" s="3">
        <f t="shared" si="42"/>
        <v>0.42766295707472168</v>
      </c>
      <c r="P62" s="3">
        <f t="shared" si="42"/>
        <v>-8.1959910913140366E-2</v>
      </c>
    </row>
    <row r="63" spans="2:34" x14ac:dyDescent="0.2">
      <c r="H63" t="s">
        <v>145</v>
      </c>
      <c r="I63" s="3">
        <f>(I35+I36)/(H35+H36)-1</f>
        <v>0.53518664120708381</v>
      </c>
      <c r="J63" s="3">
        <f t="shared" ref="J63:P63" si="43">(J35+J36)/(I35+I36)-1</f>
        <v>0.3819601105276893</v>
      </c>
      <c r="K63" s="3">
        <f t="shared" si="43"/>
        <v>0.70059918018068501</v>
      </c>
      <c r="L63" s="3">
        <f t="shared" si="43"/>
        <v>0.14928423978479577</v>
      </c>
      <c r="M63" s="3">
        <f t="shared" si="43"/>
        <v>-6.5914221218961622E-2</v>
      </c>
      <c r="N63" s="3">
        <f t="shared" si="43"/>
        <v>0.12034799420009668</v>
      </c>
      <c r="O63" s="3">
        <f t="shared" si="43"/>
        <v>0.52782571182053495</v>
      </c>
      <c r="P63" s="3">
        <f t="shared" si="43"/>
        <v>1.6094875052943713E-2</v>
      </c>
      <c r="Q63" s="28">
        <v>0.15</v>
      </c>
      <c r="R63" s="28">
        <v>0.15</v>
      </c>
      <c r="S63" s="28">
        <v>0.15</v>
      </c>
      <c r="T63" s="28">
        <v>0.15</v>
      </c>
      <c r="U63" s="28">
        <v>0.03</v>
      </c>
      <c r="V63" s="28">
        <v>0.03</v>
      </c>
      <c r="W63" s="28">
        <v>0.03</v>
      </c>
      <c r="X63" s="28">
        <v>0.03</v>
      </c>
      <c r="Y63" s="28">
        <v>0.03</v>
      </c>
      <c r="Z63" s="28">
        <v>0.03</v>
      </c>
      <c r="AA63" s="28">
        <v>0.03</v>
      </c>
      <c r="AB63" s="28">
        <v>0.03</v>
      </c>
      <c r="AC63" s="28">
        <v>0.03</v>
      </c>
      <c r="AD63" s="28">
        <v>0.03</v>
      </c>
      <c r="AE63" s="28">
        <v>0.03</v>
      </c>
      <c r="AF63" s="28">
        <v>0.03</v>
      </c>
      <c r="AG63" s="28">
        <v>0.03</v>
      </c>
      <c r="AH63" s="28">
        <v>0.03</v>
      </c>
    </row>
  </sheetData>
  <mergeCells count="36">
    <mergeCell ref="AI7:AI8"/>
    <mergeCell ref="AJ7:AJ8"/>
    <mergeCell ref="AK7:AK8"/>
    <mergeCell ref="AL7:AL8"/>
    <mergeCell ref="AM7:AM8"/>
    <mergeCell ref="BB7:BB8"/>
    <mergeCell ref="AM9:AM10"/>
    <mergeCell ref="AN9:AN10"/>
    <mergeCell ref="AO9:AO10"/>
    <mergeCell ref="AP9:AP10"/>
    <mergeCell ref="AQ9:AQ10"/>
    <mergeCell ref="AR7:AR8"/>
    <mergeCell ref="AS7:AS8"/>
    <mergeCell ref="AT7:AT8"/>
    <mergeCell ref="AU7:AU8"/>
    <mergeCell ref="AV7:AV8"/>
    <mergeCell ref="AW7:AW8"/>
    <mergeCell ref="AN7:AN8"/>
    <mergeCell ref="AO7:AO8"/>
    <mergeCell ref="AP7:AP8"/>
    <mergeCell ref="AQ7:AQ8"/>
    <mergeCell ref="AW9:AW10"/>
    <mergeCell ref="AX7:AX8"/>
    <mergeCell ref="AY7:AY8"/>
    <mergeCell ref="AZ7:AZ8"/>
    <mergeCell ref="BA7:BA8"/>
    <mergeCell ref="AR9:AR10"/>
    <mergeCell ref="AS9:AS10"/>
    <mergeCell ref="AT9:AT10"/>
    <mergeCell ref="AU9:AU10"/>
    <mergeCell ref="AV9:AV10"/>
    <mergeCell ref="AX9:AX10"/>
    <mergeCell ref="AY9:AY10"/>
    <mergeCell ref="AZ9:AZ10"/>
    <mergeCell ref="BA9:BA10"/>
    <mergeCell ref="BB9:BB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suzanne mccall</dc:creator>
  <cp:lastModifiedBy>suzanne mccall</cp:lastModifiedBy>
  <dcterms:created xsi:type="dcterms:W3CDTF">2023-04-20T21:10:23Z</dcterms:created>
  <dcterms:modified xsi:type="dcterms:W3CDTF">2023-04-21T02:04:11Z</dcterms:modified>
</cp:coreProperties>
</file>