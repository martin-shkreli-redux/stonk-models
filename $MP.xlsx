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wilsonmccall/Desktop/$MODELZ/$MP/"/>
    </mc:Choice>
  </mc:AlternateContent>
  <xr:revisionPtr revIDLastSave="0" documentId="13_ncr:1_{14D14F01-CA34-354F-8196-AA204285DFB5}" xr6:coauthVersionLast="45" xr6:coauthVersionMax="45" xr10:uidLastSave="{00000000-0000-0000-0000-000000000000}"/>
  <bookViews>
    <workbookView xWindow="3480" yWindow="500" windowWidth="24500" windowHeight="19560" xr2:uid="{464812D6-FCF3-0544-84DC-44BCA1A82F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2" i="1" l="1"/>
  <c r="H32" i="1" s="1"/>
  <c r="I32" i="1" s="1"/>
  <c r="J32" i="1" s="1"/>
  <c r="K32" i="1" s="1"/>
  <c r="L32" i="1" s="1"/>
  <c r="M32" i="1" s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K29" i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 s="1"/>
  <c r="W29" i="1" s="1"/>
  <c r="X29" i="1" s="1"/>
  <c r="X31" i="1" l="1"/>
  <c r="X30" i="1" s="1"/>
  <c r="W31" i="1"/>
  <c r="W30" i="1" s="1"/>
  <c r="V31" i="1"/>
  <c r="V30" i="1" s="1"/>
  <c r="U31" i="1"/>
  <c r="U30" i="1" s="1"/>
  <c r="T31" i="1"/>
  <c r="T30" i="1" s="1"/>
  <c r="S31" i="1"/>
  <c r="S30" i="1" s="1"/>
  <c r="R31" i="1"/>
  <c r="R30" i="1" s="1"/>
  <c r="Q31" i="1"/>
  <c r="Q30" i="1" s="1"/>
  <c r="Q40" i="1" s="1"/>
  <c r="Q41" i="1" s="1"/>
  <c r="Q44" i="1" s="1"/>
  <c r="P31" i="1"/>
  <c r="P30" i="1" s="1"/>
  <c r="P40" i="1" s="1"/>
  <c r="P41" i="1" s="1"/>
  <c r="P44" i="1" s="1"/>
  <c r="O31" i="1"/>
  <c r="O30" i="1" s="1"/>
  <c r="O40" i="1" s="1"/>
  <c r="O41" i="1" s="1"/>
  <c r="O44" i="1" s="1"/>
  <c r="N31" i="1"/>
  <c r="N30" i="1" s="1"/>
  <c r="N40" i="1" s="1"/>
  <c r="N41" i="1" s="1"/>
  <c r="N44" i="1" s="1"/>
  <c r="M31" i="1"/>
  <c r="M30" i="1" s="1"/>
  <c r="M40" i="1" s="1"/>
  <c r="M41" i="1" s="1"/>
  <c r="M44" i="1" s="1"/>
  <c r="L31" i="1"/>
  <c r="L30" i="1" s="1"/>
  <c r="L40" i="1" s="1"/>
  <c r="L41" i="1" s="1"/>
  <c r="L44" i="1" s="1"/>
  <c r="K31" i="1"/>
  <c r="K30" i="1" s="1"/>
  <c r="K40" i="1" s="1"/>
  <c r="K41" i="1" s="1"/>
  <c r="K44" i="1" s="1"/>
  <c r="J31" i="1"/>
  <c r="J30" i="1" s="1"/>
  <c r="J40" i="1" s="1"/>
  <c r="J41" i="1" s="1"/>
  <c r="J44" i="1" s="1"/>
  <c r="I31" i="1"/>
  <c r="I30" i="1" s="1"/>
  <c r="I40" i="1" s="1"/>
  <c r="I41" i="1" s="1"/>
  <c r="I44" i="1" s="1"/>
  <c r="H31" i="1"/>
  <c r="H30" i="1" s="1"/>
  <c r="H40" i="1" s="1"/>
  <c r="H41" i="1" s="1"/>
  <c r="H44" i="1" s="1"/>
  <c r="G31" i="1"/>
  <c r="G30" i="1" s="1"/>
  <c r="G40" i="1" s="1"/>
  <c r="G41" i="1" s="1"/>
  <c r="G44" i="1" s="1"/>
  <c r="J50" i="1"/>
  <c r="I50" i="1"/>
  <c r="H50" i="1"/>
  <c r="G50" i="1"/>
  <c r="F57" i="1"/>
  <c r="F31" i="1"/>
  <c r="F51" i="1" s="1"/>
  <c r="E31" i="1"/>
  <c r="E51" i="1" s="1"/>
  <c r="D31" i="1"/>
  <c r="D51" i="1" s="1"/>
  <c r="F50" i="1"/>
  <c r="E50" i="1"/>
  <c r="D50" i="1"/>
  <c r="H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P7" i="1"/>
  <c r="O7" i="1"/>
  <c r="N7" i="1"/>
  <c r="M7" i="1"/>
  <c r="L7" i="1"/>
  <c r="K7" i="1"/>
  <c r="J7" i="1"/>
  <c r="I7" i="1"/>
  <c r="G7" i="1"/>
  <c r="F7" i="1"/>
  <c r="E7" i="1"/>
  <c r="D7" i="1"/>
  <c r="C7" i="1"/>
  <c r="E40" i="1"/>
  <c r="F40" i="1"/>
  <c r="F41" i="1" s="1"/>
  <c r="F44" i="1" s="1"/>
  <c r="F46" i="1" s="1"/>
  <c r="F47" i="1" s="1"/>
  <c r="E41" i="1"/>
  <c r="E44" i="1" s="1"/>
  <c r="E46" i="1" s="1"/>
  <c r="E52" i="1" s="1"/>
  <c r="D40" i="1"/>
  <c r="D41" i="1" s="1"/>
  <c r="D44" i="1" s="1"/>
  <c r="D46" i="1" s="1"/>
  <c r="C40" i="1"/>
  <c r="C41" i="1" s="1"/>
  <c r="C44" i="1" s="1"/>
  <c r="C46" i="1" s="1"/>
  <c r="C31" i="1"/>
  <c r="C51" i="1" s="1"/>
  <c r="F52" i="1" l="1"/>
  <c r="T40" i="1"/>
  <c r="T41" i="1" s="1"/>
  <c r="T44" i="1" s="1"/>
  <c r="T45" i="1" s="1"/>
  <c r="T46" i="1" s="1"/>
  <c r="T47" i="1" s="1"/>
  <c r="X40" i="1"/>
  <c r="X41" i="1" s="1"/>
  <c r="X44" i="1" s="1"/>
  <c r="X45" i="1" s="1"/>
  <c r="X46" i="1" s="1"/>
  <c r="R40" i="1"/>
  <c r="R41" i="1" s="1"/>
  <c r="R44" i="1" s="1"/>
  <c r="R45" i="1" s="1"/>
  <c r="R46" i="1" s="1"/>
  <c r="R47" i="1" s="1"/>
  <c r="V40" i="1"/>
  <c r="V41" i="1" s="1"/>
  <c r="V44" i="1" s="1"/>
  <c r="V45" i="1" s="1"/>
  <c r="V46" i="1" s="1"/>
  <c r="V47" i="1" s="1"/>
  <c r="S40" i="1"/>
  <c r="S41" i="1" s="1"/>
  <c r="S44" i="1" s="1"/>
  <c r="S45" i="1" s="1"/>
  <c r="S46" i="1" s="1"/>
  <c r="S47" i="1" s="1"/>
  <c r="U40" i="1"/>
  <c r="U41" i="1" s="1"/>
  <c r="U44" i="1" s="1"/>
  <c r="U45" i="1" s="1"/>
  <c r="U46" i="1" s="1"/>
  <c r="U47" i="1" s="1"/>
  <c r="W40" i="1"/>
  <c r="W41" i="1" s="1"/>
  <c r="W44" i="1" s="1"/>
  <c r="W45" i="1" s="1"/>
  <c r="W46" i="1" s="1"/>
  <c r="W47" i="1" s="1"/>
  <c r="H45" i="1"/>
  <c r="H46" i="1" s="1"/>
  <c r="H47" i="1" s="1"/>
  <c r="I45" i="1"/>
  <c r="I46" i="1" s="1"/>
  <c r="I47" i="1" s="1"/>
  <c r="J45" i="1"/>
  <c r="J46" i="1" s="1"/>
  <c r="J47" i="1" s="1"/>
  <c r="G45" i="1"/>
  <c r="G46" i="1" s="1"/>
  <c r="G47" i="1" s="1"/>
  <c r="N45" i="1"/>
  <c r="N46" i="1" s="1"/>
  <c r="N47" i="1" s="1"/>
  <c r="P45" i="1"/>
  <c r="P46" i="1" s="1"/>
  <c r="P47" i="1" s="1"/>
  <c r="L45" i="1"/>
  <c r="L46" i="1" s="1"/>
  <c r="L47" i="1" s="1"/>
  <c r="O45" i="1"/>
  <c r="O46" i="1" s="1"/>
  <c r="O47" i="1" s="1"/>
  <c r="Q45" i="1"/>
  <c r="Q46" i="1" s="1"/>
  <c r="Q47" i="1" s="1"/>
  <c r="M45" i="1"/>
  <c r="M46" i="1" s="1"/>
  <c r="M47" i="1" s="1"/>
  <c r="K45" i="1"/>
  <c r="K46" i="1" s="1"/>
  <c r="K47" i="1" l="1"/>
  <c r="X47" i="1"/>
  <c r="Y46" i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C56" i="1" l="1"/>
  <c r="C57" i="1" l="1"/>
  <c r="C59" i="1"/>
</calcChain>
</file>

<file path=xl/sharedStrings.xml><?xml version="1.0" encoding="utf-8"?>
<sst xmlns="http://schemas.openxmlformats.org/spreadsheetml/2006/main" count="93" uniqueCount="72">
  <si>
    <t>Gross Profit</t>
  </si>
  <si>
    <t>SG&amp;A</t>
  </si>
  <si>
    <t>Pre Tax</t>
  </si>
  <si>
    <t>Net Income</t>
  </si>
  <si>
    <t>Shares</t>
  </si>
  <si>
    <t xml:space="preserve">Revenue </t>
  </si>
  <si>
    <t>cost of sales</t>
  </si>
  <si>
    <t>AP development, other</t>
  </si>
  <si>
    <t xml:space="preserve">Depreciation, depletion and amoritization </t>
  </si>
  <si>
    <t>Accretion of asset retirement and enviro</t>
  </si>
  <si>
    <t>Loss in sale or disposal of asset, net</t>
  </si>
  <si>
    <t xml:space="preserve">Royalty expense </t>
  </si>
  <si>
    <t>write down of inventories</t>
  </si>
  <si>
    <t>Settlement charge</t>
  </si>
  <si>
    <t>Operation Expence</t>
  </si>
  <si>
    <t xml:space="preserve">Operating Income </t>
  </si>
  <si>
    <t>Interest Expence, Net</t>
  </si>
  <si>
    <t>Tax,Net</t>
  </si>
  <si>
    <t xml:space="preserve">EPS </t>
  </si>
  <si>
    <t>F2019</t>
  </si>
  <si>
    <t>F2020</t>
  </si>
  <si>
    <t>F2021</t>
  </si>
  <si>
    <t>F2022</t>
  </si>
  <si>
    <t>F2023</t>
  </si>
  <si>
    <t>F2024</t>
  </si>
  <si>
    <t>F2025</t>
  </si>
  <si>
    <t>F2026</t>
  </si>
  <si>
    <t>F2027</t>
  </si>
  <si>
    <t>F2028</t>
  </si>
  <si>
    <t>F2029</t>
  </si>
  <si>
    <t>F2030</t>
  </si>
  <si>
    <t>F2031</t>
  </si>
  <si>
    <t>F2032</t>
  </si>
  <si>
    <t>F2033</t>
  </si>
  <si>
    <t>F2034</t>
  </si>
  <si>
    <t>F2035</t>
  </si>
  <si>
    <t>F2036</t>
  </si>
  <si>
    <t>F2037</t>
  </si>
  <si>
    <t>F2038</t>
  </si>
  <si>
    <t>F2039</t>
  </si>
  <si>
    <t>F2040</t>
  </si>
  <si>
    <t>Other Income</t>
  </si>
  <si>
    <t>Other Income, Net</t>
  </si>
  <si>
    <t>Rev y/y</t>
  </si>
  <si>
    <t>Tax Rate</t>
  </si>
  <si>
    <t>Disount</t>
  </si>
  <si>
    <t>NPV</t>
  </si>
  <si>
    <t>Share</t>
  </si>
  <si>
    <t>Price</t>
  </si>
  <si>
    <t>MC</t>
  </si>
  <si>
    <t>Cash</t>
  </si>
  <si>
    <t>Debt</t>
  </si>
  <si>
    <t>EV</t>
  </si>
  <si>
    <t>Q1/20</t>
  </si>
  <si>
    <t>Q2/20</t>
  </si>
  <si>
    <t>Q3/20</t>
  </si>
  <si>
    <t>Q4/20</t>
  </si>
  <si>
    <t>Q1/21</t>
  </si>
  <si>
    <t>Q2/21</t>
  </si>
  <si>
    <t>Q3/21</t>
  </si>
  <si>
    <t>Q4/21</t>
  </si>
  <si>
    <t>Q1/22</t>
  </si>
  <si>
    <t>Q2/22</t>
  </si>
  <si>
    <t>Q3/22</t>
  </si>
  <si>
    <t>Q4/22</t>
  </si>
  <si>
    <t>Q1/23</t>
  </si>
  <si>
    <t>Q2/23</t>
  </si>
  <si>
    <t>Other Expences</t>
  </si>
  <si>
    <t>Terminal Net Inc</t>
  </si>
  <si>
    <t xml:space="preserve">Dilution </t>
  </si>
  <si>
    <t>Diluted Share</t>
  </si>
  <si>
    <t xml:space="preserve">Gross Margin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</si>
</sst>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</numFmts>
  <fonts count="5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3" borderId="0" xfId="0" applyFont="1" applyFill="1"/>
    <xf numFmtId="0" fontId="2" fillId="0" borderId="0" xfId="0" applyFont="1" applyFill="1"/>
    <xf numFmtId="0" fontId="0" fillId="0" borderId="0" xfId="0" applyFont="1" applyFill="1"/>
    <xf numFmtId="0" fontId="3" fillId="0" borderId="0" xfId="0" applyFont="1"/>
    <xf numFmtId="0" fontId="4" fillId="0" borderId="0" xfId="0" applyFont="1"/>
    <xf numFmtId="44" fontId="0" fillId="0" borderId="0" xfId="2" applyFont="1"/>
    <xf numFmtId="44" fontId="0" fillId="0" borderId="0" xfId="0" applyNumberFormat="1"/>
    <xf numFmtId="43" fontId="0" fillId="0" borderId="0" xfId="1" applyFont="1"/>
    <xf numFmtId="0" fontId="3" fillId="4" borderId="0" xfId="0" applyFont="1" applyFill="1"/>
    <xf numFmtId="0" fontId="4" fillId="5" borderId="0" xfId="0" applyFont="1" applyFill="1"/>
    <xf numFmtId="0" fontId="0" fillId="6" borderId="0" xfId="0" applyFill="1"/>
    <xf numFmtId="44" fontId="2" fillId="4" borderId="0" xfId="0" applyNumberFormat="1" applyFont="1" applyFill="1"/>
    <xf numFmtId="44" fontId="0" fillId="6" borderId="0" xfId="2" applyFont="1" applyFill="1"/>
    <xf numFmtId="44" fontId="2" fillId="3" borderId="0" xfId="2" applyFont="1" applyFill="1"/>
    <xf numFmtId="9" fontId="0" fillId="0" borderId="0" xfId="3" applyFont="1"/>
    <xf numFmtId="43" fontId="0" fillId="6" borderId="0" xfId="1" applyFont="1" applyFill="1"/>
    <xf numFmtId="9" fontId="0" fillId="5" borderId="0" xfId="3" applyFont="1" applyFill="1"/>
    <xf numFmtId="0" fontId="0" fillId="7" borderId="0" xfId="0" applyFill="1"/>
    <xf numFmtId="9" fontId="0" fillId="7" borderId="0" xfId="3" applyFont="1" applyFill="1"/>
    <xf numFmtId="8" fontId="0" fillId="5" borderId="0" xfId="0" applyNumberFormat="1" applyFill="1"/>
    <xf numFmtId="44" fontId="0" fillId="5" borderId="0" xfId="2" applyFont="1" applyFill="1"/>
    <xf numFmtId="43" fontId="0" fillId="2" borderId="0" xfId="1" applyFont="1" applyFill="1"/>
    <xf numFmtId="14" fontId="0" fillId="0" borderId="0" xfId="0" applyNumberFormat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12700</xdr:colOff>
      <xdr:row>24</xdr:row>
      <xdr:rowOff>63500</xdr:rowOff>
    </xdr:from>
    <xdr:to>
      <xdr:col>6</xdr:col>
      <xdr:colOff>12700</xdr:colOff>
      <xdr:row>52</xdr:row>
      <xdr:rowOff>139700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5ABFF20C-C7EF-6E48-AD08-347BFC024630}"/>
            </a:ext>
          </a:extLst>
        </xdr:cNvPr>
        <xdr:cNvCxnSpPr/>
      </xdr:nvCxnSpPr>
      <xdr:spPr>
        <a:xfrm>
          <a:off x="8470900" y="4533900"/>
          <a:ext cx="0" cy="57658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0</xdr:colOff>
      <xdr:row>1</xdr:row>
      <xdr:rowOff>101600</xdr:rowOff>
    </xdr:from>
    <xdr:to>
      <xdr:col>14</xdr:col>
      <xdr:colOff>0</xdr:colOff>
      <xdr:row>23</xdr:row>
      <xdr:rowOff>139700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0DEB7C0D-D6F2-E148-887A-48DB453FC2B5}"/>
            </a:ext>
          </a:extLst>
        </xdr:cNvPr>
        <xdr:cNvCxnSpPr/>
      </xdr:nvCxnSpPr>
      <xdr:spPr>
        <a:xfrm>
          <a:off x="18262600" y="101600"/>
          <a:ext cx="0" cy="45085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B00AA-555D-154F-88BD-240FD3740A02}">
  <dimension ref="B1:AT61"/>
  <sheetViews>
    <sheetView tabSelected="1" workbookViewId="0">
      <selection activeCell="K50" sqref="K50"/>
    </sheetView>
  </sheetViews>
  <sheetFormatPr baseColWidth="10" defaultRowHeight="16" x14ac:dyDescent="0.2"/>
  <cols>
    <col min="2" max="2" width="35.33203125" customWidth="1"/>
    <col min="3" max="3" width="18" bestFit="1" customWidth="1"/>
    <col min="4" max="4" width="16" bestFit="1" customWidth="1"/>
    <col min="5" max="5" width="16.1640625" bestFit="1" customWidth="1"/>
    <col min="6" max="6" width="17.6640625" bestFit="1" customWidth="1"/>
    <col min="7" max="7" width="16" bestFit="1" customWidth="1"/>
    <col min="8" max="9" width="16.83203125" bestFit="1" customWidth="1"/>
    <col min="10" max="46" width="17.6640625" bestFit="1" customWidth="1"/>
  </cols>
  <sheetData>
    <row r="1" spans="2:16" x14ac:dyDescent="0.2">
      <c r="B1" s="24">
        <v>45048</v>
      </c>
    </row>
    <row r="3" spans="2:16" x14ac:dyDescent="0.2">
      <c r="C3" s="1" t="s">
        <v>53</v>
      </c>
      <c r="D3" s="1" t="s">
        <v>54</v>
      </c>
      <c r="E3" s="1" t="s">
        <v>55</v>
      </c>
      <c r="F3" s="1" t="s">
        <v>56</v>
      </c>
      <c r="G3" s="1" t="s">
        <v>57</v>
      </c>
      <c r="H3" s="1" t="s">
        <v>58</v>
      </c>
      <c r="I3" s="1" t="s">
        <v>59</v>
      </c>
      <c r="J3" s="1" t="s">
        <v>60</v>
      </c>
      <c r="K3" s="1" t="s">
        <v>61</v>
      </c>
      <c r="L3" s="1" t="s">
        <v>62</v>
      </c>
      <c r="M3" s="1" t="s">
        <v>63</v>
      </c>
      <c r="N3" s="1" t="s">
        <v>64</v>
      </c>
      <c r="O3" s="1" t="s">
        <v>65</v>
      </c>
      <c r="P3" s="1" t="s">
        <v>66</v>
      </c>
    </row>
    <row r="5" spans="2:16" x14ac:dyDescent="0.2">
      <c r="B5" s="1" t="s">
        <v>5</v>
      </c>
      <c r="C5" s="7">
        <v>20719000</v>
      </c>
      <c r="D5" s="7">
        <v>30391000</v>
      </c>
      <c r="E5" s="7">
        <v>41022000</v>
      </c>
      <c r="G5" s="7">
        <v>59971000</v>
      </c>
      <c r="H5" s="7">
        <v>73118000</v>
      </c>
      <c r="I5" s="7">
        <v>99754000</v>
      </c>
      <c r="J5" s="7">
        <v>99109000</v>
      </c>
      <c r="K5" s="7">
        <v>166258000</v>
      </c>
      <c r="L5" s="7">
        <v>143562000</v>
      </c>
      <c r="M5" s="7">
        <v>124445000</v>
      </c>
      <c r="N5" s="7">
        <v>93245000</v>
      </c>
      <c r="O5" s="7">
        <v>89000000</v>
      </c>
    </row>
    <row r="6" spans="2:16" x14ac:dyDescent="0.2">
      <c r="B6" t="s">
        <v>6</v>
      </c>
      <c r="C6" s="7">
        <v>12667000</v>
      </c>
      <c r="D6" s="7">
        <v>16865000</v>
      </c>
      <c r="E6" s="7">
        <v>15425000</v>
      </c>
      <c r="G6" s="7">
        <v>17936000</v>
      </c>
      <c r="H6" s="7">
        <v>17955000</v>
      </c>
      <c r="I6" s="7">
        <v>21907000</v>
      </c>
      <c r="J6" s="7">
        <v>18455000</v>
      </c>
      <c r="K6" s="7">
        <v>23173000</v>
      </c>
      <c r="L6" s="7">
        <v>22092000</v>
      </c>
      <c r="M6" s="7">
        <v>22417000</v>
      </c>
      <c r="N6" s="7">
        <v>24526000</v>
      </c>
    </row>
    <row r="7" spans="2:16" x14ac:dyDescent="0.2">
      <c r="B7" s="1" t="s">
        <v>0</v>
      </c>
      <c r="C7" s="8">
        <f>C5-C6</f>
        <v>8052000</v>
      </c>
      <c r="D7" s="8">
        <f t="shared" ref="D7:P7" si="0">D5-D6</f>
        <v>13526000</v>
      </c>
      <c r="E7" s="8">
        <f t="shared" si="0"/>
        <v>25597000</v>
      </c>
      <c r="F7" s="8">
        <f t="shared" si="0"/>
        <v>0</v>
      </c>
      <c r="G7" s="8">
        <f t="shared" si="0"/>
        <v>42035000</v>
      </c>
      <c r="H7" s="8">
        <f>H5-H6</f>
        <v>55163000</v>
      </c>
      <c r="I7" s="8">
        <f t="shared" si="0"/>
        <v>77847000</v>
      </c>
      <c r="J7" s="8">
        <f t="shared" si="0"/>
        <v>80654000</v>
      </c>
      <c r="K7" s="8">
        <f t="shared" si="0"/>
        <v>143085000</v>
      </c>
      <c r="L7" s="8">
        <f t="shared" si="0"/>
        <v>121470000</v>
      </c>
      <c r="M7" s="8">
        <f t="shared" si="0"/>
        <v>102028000</v>
      </c>
      <c r="N7" s="8">
        <f t="shared" si="0"/>
        <v>68719000</v>
      </c>
      <c r="O7" s="8">
        <f t="shared" si="0"/>
        <v>89000000</v>
      </c>
      <c r="P7" s="8">
        <f t="shared" si="0"/>
        <v>0</v>
      </c>
    </row>
    <row r="8" spans="2:16" x14ac:dyDescent="0.2">
      <c r="B8" s="4" t="s">
        <v>1</v>
      </c>
      <c r="E8" s="7">
        <v>5635000</v>
      </c>
      <c r="I8" s="7">
        <v>14881000</v>
      </c>
      <c r="K8" s="7">
        <v>20565000</v>
      </c>
      <c r="L8" s="7">
        <v>18222000</v>
      </c>
      <c r="M8" s="7">
        <v>17604000</v>
      </c>
    </row>
    <row r="9" spans="2:16" x14ac:dyDescent="0.2">
      <c r="B9" s="4" t="s">
        <v>7</v>
      </c>
      <c r="E9" s="8">
        <v>11000</v>
      </c>
      <c r="I9" s="8">
        <v>1327000</v>
      </c>
      <c r="K9" s="8">
        <v>1818000</v>
      </c>
      <c r="L9" s="8">
        <v>1668000</v>
      </c>
      <c r="M9" s="7">
        <v>2743000</v>
      </c>
    </row>
    <row r="10" spans="2:16" x14ac:dyDescent="0.2">
      <c r="B10" s="4" t="s">
        <v>8</v>
      </c>
      <c r="E10" s="8">
        <v>2179000</v>
      </c>
      <c r="I10" s="8">
        <v>6951000</v>
      </c>
      <c r="K10" s="8">
        <v>5260000</v>
      </c>
      <c r="L10" s="8">
        <v>5407000</v>
      </c>
      <c r="M10" s="7">
        <v>2096000</v>
      </c>
    </row>
    <row r="11" spans="2:16" x14ac:dyDescent="0.2">
      <c r="B11" s="4" t="s">
        <v>9</v>
      </c>
      <c r="E11" s="8">
        <v>563000</v>
      </c>
      <c r="I11" s="8">
        <v>595000</v>
      </c>
      <c r="K11" s="8">
        <v>418000</v>
      </c>
      <c r="L11" s="8">
        <v>419000</v>
      </c>
      <c r="M11" s="7">
        <v>418000</v>
      </c>
    </row>
    <row r="12" spans="2:16" x14ac:dyDescent="0.2">
      <c r="B12" s="4" t="s">
        <v>10</v>
      </c>
    </row>
    <row r="13" spans="2:16" x14ac:dyDescent="0.2">
      <c r="B13" s="4" t="s">
        <v>11</v>
      </c>
      <c r="E13" s="8">
        <v>1055000</v>
      </c>
    </row>
    <row r="14" spans="2:16" x14ac:dyDescent="0.2">
      <c r="B14" s="4" t="s">
        <v>12</v>
      </c>
    </row>
    <row r="15" spans="2:16" x14ac:dyDescent="0.2">
      <c r="B15" s="4" t="s">
        <v>13</v>
      </c>
    </row>
    <row r="16" spans="2:16" x14ac:dyDescent="0.2">
      <c r="B16" s="3" t="s">
        <v>14</v>
      </c>
      <c r="C16" s="7">
        <v>18073000</v>
      </c>
      <c r="D16" s="7">
        <v>91635000</v>
      </c>
      <c r="E16" s="7">
        <v>24868000</v>
      </c>
      <c r="G16" s="7">
        <v>38262000</v>
      </c>
      <c r="H16" s="7">
        <v>40653000</v>
      </c>
      <c r="I16" s="7">
        <v>45661000</v>
      </c>
      <c r="J16" s="7">
        <v>42031000</v>
      </c>
      <c r="K16" s="7">
        <v>51234000</v>
      </c>
      <c r="L16" s="7">
        <v>47808000</v>
      </c>
      <c r="M16" s="7">
        <v>45278000</v>
      </c>
      <c r="N16" s="7">
        <v>55779000</v>
      </c>
    </row>
    <row r="17" spans="2:24" x14ac:dyDescent="0.2">
      <c r="B17" s="3" t="s">
        <v>15</v>
      </c>
      <c r="C17" s="8">
        <f>C5-C16</f>
        <v>2646000</v>
      </c>
      <c r="D17" s="8">
        <f t="shared" ref="D17:P17" si="1">D5-D16</f>
        <v>-61244000</v>
      </c>
      <c r="E17" s="8">
        <f t="shared" si="1"/>
        <v>16154000</v>
      </c>
      <c r="F17" s="8">
        <f t="shared" si="1"/>
        <v>0</v>
      </c>
      <c r="G17" s="8">
        <f t="shared" si="1"/>
        <v>21709000</v>
      </c>
      <c r="H17" s="8">
        <f t="shared" si="1"/>
        <v>32465000</v>
      </c>
      <c r="I17" s="8">
        <f t="shared" si="1"/>
        <v>54093000</v>
      </c>
      <c r="J17" s="8">
        <f t="shared" si="1"/>
        <v>57078000</v>
      </c>
      <c r="K17" s="8">
        <f t="shared" si="1"/>
        <v>115024000</v>
      </c>
      <c r="L17" s="8">
        <f t="shared" si="1"/>
        <v>95754000</v>
      </c>
      <c r="M17" s="8">
        <f t="shared" si="1"/>
        <v>79167000</v>
      </c>
      <c r="N17" s="8">
        <f t="shared" si="1"/>
        <v>37466000</v>
      </c>
      <c r="O17" s="8">
        <f t="shared" si="1"/>
        <v>89000000</v>
      </c>
      <c r="P17" s="8">
        <f t="shared" si="1"/>
        <v>0</v>
      </c>
    </row>
    <row r="18" spans="2:24" x14ac:dyDescent="0.2">
      <c r="B18" s="4" t="s">
        <v>16</v>
      </c>
      <c r="C18" s="7">
        <v>-803000</v>
      </c>
      <c r="D18" s="7">
        <v>-1066000</v>
      </c>
      <c r="E18" s="7">
        <v>-1713000</v>
      </c>
      <c r="G18" s="7">
        <v>-1154000</v>
      </c>
      <c r="H18" s="7">
        <v>-2639000</v>
      </c>
      <c r="I18" s="7">
        <v>-2624000</v>
      </c>
      <c r="K18" s="7">
        <v>-1905000</v>
      </c>
      <c r="L18" s="7">
        <v>-1326000</v>
      </c>
      <c r="M18" s="7">
        <v>-1224000</v>
      </c>
    </row>
    <row r="19" spans="2:24" x14ac:dyDescent="0.2">
      <c r="B19" s="4" t="s">
        <v>41</v>
      </c>
      <c r="C19" s="7"/>
      <c r="D19" s="7"/>
      <c r="E19" s="7"/>
      <c r="G19" s="7"/>
      <c r="H19" s="7"/>
      <c r="I19" s="7"/>
      <c r="K19" s="7"/>
      <c r="L19" s="7"/>
      <c r="M19" s="7">
        <v>6168000</v>
      </c>
    </row>
    <row r="20" spans="2:24" x14ac:dyDescent="0.2">
      <c r="B20" s="4" t="s">
        <v>2</v>
      </c>
      <c r="C20" s="7">
        <v>1925000</v>
      </c>
      <c r="D20" s="7">
        <v>-62491000</v>
      </c>
      <c r="E20" s="7">
        <v>14502000</v>
      </c>
      <c r="G20" s="7">
        <v>20610000</v>
      </c>
      <c r="H20" s="7">
        <v>33330000</v>
      </c>
      <c r="I20" s="7">
        <v>51566000</v>
      </c>
      <c r="J20" s="7">
        <v>54689000</v>
      </c>
      <c r="K20" s="7">
        <v>113313000</v>
      </c>
      <c r="L20" s="7">
        <v>96640000</v>
      </c>
      <c r="M20" s="7">
        <v>84111000</v>
      </c>
      <c r="N20" s="7">
        <v>47088000</v>
      </c>
    </row>
    <row r="21" spans="2:24" x14ac:dyDescent="0.2">
      <c r="B21" s="4" t="s">
        <v>17</v>
      </c>
      <c r="C21" s="7"/>
      <c r="D21" s="7">
        <v>-336000</v>
      </c>
      <c r="E21" s="7">
        <v>125000</v>
      </c>
      <c r="G21" s="7">
        <v>-4491000</v>
      </c>
      <c r="H21" s="7">
        <v>-6164000</v>
      </c>
      <c r="I21" s="7">
        <v>-8803000</v>
      </c>
      <c r="J21" s="7">
        <v>-5700000</v>
      </c>
      <c r="K21" s="7">
        <v>-27762000</v>
      </c>
      <c r="L21" s="7">
        <v>-23371000</v>
      </c>
      <c r="M21" s="7">
        <v>-20934000</v>
      </c>
      <c r="N21" s="7">
        <v>19919000</v>
      </c>
    </row>
    <row r="22" spans="2:24" x14ac:dyDescent="0.2">
      <c r="B22" s="2" t="s">
        <v>3</v>
      </c>
      <c r="C22" s="15">
        <v>1925000</v>
      </c>
      <c r="D22" s="15">
        <v>-62491000</v>
      </c>
      <c r="E22" s="15">
        <v>14627000</v>
      </c>
      <c r="F22" s="2"/>
      <c r="G22" s="15">
        <v>16119000</v>
      </c>
      <c r="H22" s="15">
        <v>27166000</v>
      </c>
      <c r="I22" s="15">
        <v>42763000</v>
      </c>
      <c r="J22" s="15">
        <v>48989000</v>
      </c>
      <c r="K22" s="15">
        <v>85551000</v>
      </c>
      <c r="L22" s="15">
        <v>73269000</v>
      </c>
      <c r="M22" s="15">
        <v>63177000</v>
      </c>
      <c r="N22" s="15">
        <v>67007000</v>
      </c>
      <c r="O22" s="2"/>
      <c r="P22" s="2"/>
    </row>
    <row r="23" spans="2:24" x14ac:dyDescent="0.2">
      <c r="B23" s="4" t="s">
        <v>18</v>
      </c>
    </row>
    <row r="24" spans="2:24" x14ac:dyDescent="0.2">
      <c r="B24" s="4" t="s">
        <v>4</v>
      </c>
    </row>
    <row r="27" spans="2:24" x14ac:dyDescent="0.2">
      <c r="B27" s="1"/>
      <c r="C27" s="1" t="s">
        <v>19</v>
      </c>
      <c r="D27" s="1" t="s">
        <v>20</v>
      </c>
      <c r="E27" s="1" t="s">
        <v>21</v>
      </c>
      <c r="F27" s="1" t="s">
        <v>22</v>
      </c>
      <c r="G27" s="1" t="s">
        <v>23</v>
      </c>
      <c r="H27" s="1" t="s">
        <v>24</v>
      </c>
      <c r="I27" s="1" t="s">
        <v>25</v>
      </c>
      <c r="J27" s="1" t="s">
        <v>26</v>
      </c>
      <c r="K27" s="1" t="s">
        <v>27</v>
      </c>
      <c r="L27" s="1" t="s">
        <v>28</v>
      </c>
      <c r="M27" s="1" t="s">
        <v>29</v>
      </c>
      <c r="N27" s="1" t="s">
        <v>30</v>
      </c>
      <c r="O27" s="1" t="s">
        <v>31</v>
      </c>
      <c r="P27" s="1" t="s">
        <v>32</v>
      </c>
      <c r="Q27" s="1" t="s">
        <v>33</v>
      </c>
      <c r="R27" s="1" t="s">
        <v>34</v>
      </c>
      <c r="S27" s="1" t="s">
        <v>35</v>
      </c>
      <c r="T27" s="1" t="s">
        <v>36</v>
      </c>
      <c r="U27" s="1" t="s">
        <v>37</v>
      </c>
      <c r="V27" s="1" t="s">
        <v>38</v>
      </c>
      <c r="W27" s="1" t="s">
        <v>39</v>
      </c>
      <c r="X27" s="1" t="s">
        <v>40</v>
      </c>
    </row>
    <row r="29" spans="2:24" x14ac:dyDescent="0.2">
      <c r="B29" s="5" t="s">
        <v>5</v>
      </c>
      <c r="C29" s="7">
        <v>73411000</v>
      </c>
      <c r="D29" s="7">
        <v>134310000</v>
      </c>
      <c r="E29" s="7">
        <v>331952000</v>
      </c>
      <c r="F29" s="7">
        <v>527510000</v>
      </c>
      <c r="G29" s="7">
        <v>420000000</v>
      </c>
      <c r="H29" s="7">
        <v>650000000</v>
      </c>
      <c r="I29" s="7">
        <v>795000000</v>
      </c>
      <c r="J29" s="7">
        <v>1300000000</v>
      </c>
      <c r="K29" s="7">
        <f t="shared" ref="K29:X29" si="2">J29*K50+J29</f>
        <v>1313000000</v>
      </c>
      <c r="L29" s="7">
        <f t="shared" si="2"/>
        <v>1326130000</v>
      </c>
      <c r="M29" s="7">
        <f t="shared" si="2"/>
        <v>1339391300</v>
      </c>
      <c r="N29" s="7">
        <f t="shared" si="2"/>
        <v>1352785213</v>
      </c>
      <c r="O29" s="7">
        <f t="shared" si="2"/>
        <v>1366313065.1300001</v>
      </c>
      <c r="P29" s="7">
        <f t="shared" si="2"/>
        <v>1379976195.7813001</v>
      </c>
      <c r="Q29" s="7">
        <f t="shared" si="2"/>
        <v>1393775957.7391131</v>
      </c>
      <c r="R29" s="7">
        <f t="shared" si="2"/>
        <v>1407713717.3165042</v>
      </c>
      <c r="S29" s="7">
        <f t="shared" si="2"/>
        <v>1421790854.4896693</v>
      </c>
      <c r="T29" s="7">
        <f t="shared" si="2"/>
        <v>1436008763.0345659</v>
      </c>
      <c r="U29" s="7">
        <f t="shared" si="2"/>
        <v>1450368850.6649115</v>
      </c>
      <c r="V29" s="7">
        <f t="shared" si="2"/>
        <v>1464872539.1715605</v>
      </c>
      <c r="W29" s="7">
        <f t="shared" si="2"/>
        <v>1479521264.5632761</v>
      </c>
      <c r="X29" s="7">
        <f t="shared" si="2"/>
        <v>1494316477.2089088</v>
      </c>
    </row>
    <row r="30" spans="2:24" x14ac:dyDescent="0.2">
      <c r="B30" s="6" t="s">
        <v>6</v>
      </c>
      <c r="C30" s="7">
        <v>61261000</v>
      </c>
      <c r="D30" s="7">
        <v>63798000</v>
      </c>
      <c r="E30" s="7">
        <v>76253000</v>
      </c>
      <c r="F30" s="7">
        <v>92218000</v>
      </c>
      <c r="G30" s="7">
        <f>G29-G31</f>
        <v>84000000</v>
      </c>
      <c r="H30" s="7">
        <f t="shared" ref="H30:X30" si="3">H29-H31</f>
        <v>130000000</v>
      </c>
      <c r="I30" s="7">
        <f t="shared" si="3"/>
        <v>159000000</v>
      </c>
      <c r="J30" s="7">
        <f t="shared" si="3"/>
        <v>260000000</v>
      </c>
      <c r="K30" s="7">
        <f t="shared" si="3"/>
        <v>262600000</v>
      </c>
      <c r="L30" s="7">
        <f t="shared" si="3"/>
        <v>265226000</v>
      </c>
      <c r="M30" s="7">
        <f t="shared" si="3"/>
        <v>267878260</v>
      </c>
      <c r="N30" s="7">
        <f t="shared" si="3"/>
        <v>270557042.5999999</v>
      </c>
      <c r="O30" s="7">
        <f t="shared" si="3"/>
        <v>273262613.02600002</v>
      </c>
      <c r="P30" s="7">
        <f t="shared" si="3"/>
        <v>275995239.15626001</v>
      </c>
      <c r="Q30" s="7">
        <f t="shared" si="3"/>
        <v>278755191.54782248</v>
      </c>
      <c r="R30" s="7">
        <f t="shared" si="3"/>
        <v>281542743.4633007</v>
      </c>
      <c r="S30" s="7">
        <f t="shared" si="3"/>
        <v>284358170.89793372</v>
      </c>
      <c r="T30" s="7">
        <f t="shared" si="3"/>
        <v>287201752.60691309</v>
      </c>
      <c r="U30" s="7">
        <f t="shared" si="3"/>
        <v>290073770.13298225</v>
      </c>
      <c r="V30" s="7">
        <f t="shared" si="3"/>
        <v>292974507.83431196</v>
      </c>
      <c r="W30" s="7">
        <f t="shared" si="3"/>
        <v>295904252.91265512</v>
      </c>
      <c r="X30" s="7">
        <f t="shared" si="3"/>
        <v>298863295.44178176</v>
      </c>
    </row>
    <row r="31" spans="2:24" x14ac:dyDescent="0.2">
      <c r="B31" s="5" t="s">
        <v>0</v>
      </c>
      <c r="C31" s="8">
        <f>C29-C30</f>
        <v>12150000</v>
      </c>
      <c r="D31" s="8">
        <f t="shared" ref="D31:F31" si="4">D29-D30</f>
        <v>70512000</v>
      </c>
      <c r="E31" s="8">
        <f t="shared" si="4"/>
        <v>255699000</v>
      </c>
      <c r="F31" s="8">
        <f t="shared" si="4"/>
        <v>435292000</v>
      </c>
      <c r="G31" s="7">
        <f>G29*G51</f>
        <v>336000000</v>
      </c>
      <c r="H31" s="7">
        <f t="shared" ref="H31:X31" si="5">H29*H51</f>
        <v>520000000</v>
      </c>
      <c r="I31" s="7">
        <f t="shared" si="5"/>
        <v>636000000</v>
      </c>
      <c r="J31" s="7">
        <f t="shared" si="5"/>
        <v>1040000000</v>
      </c>
      <c r="K31" s="7">
        <f t="shared" si="5"/>
        <v>1050400000</v>
      </c>
      <c r="L31" s="7">
        <f t="shared" si="5"/>
        <v>1060904000</v>
      </c>
      <c r="M31" s="7">
        <f t="shared" si="5"/>
        <v>1071513040</v>
      </c>
      <c r="N31" s="7">
        <f t="shared" si="5"/>
        <v>1082228170.4000001</v>
      </c>
      <c r="O31" s="7">
        <f t="shared" si="5"/>
        <v>1093050452.1040001</v>
      </c>
      <c r="P31" s="7">
        <f t="shared" si="5"/>
        <v>1103980956.6250401</v>
      </c>
      <c r="Q31" s="7">
        <f t="shared" si="5"/>
        <v>1115020766.1912906</v>
      </c>
      <c r="R31" s="7">
        <f t="shared" si="5"/>
        <v>1126170973.8532035</v>
      </c>
      <c r="S31" s="7">
        <f t="shared" si="5"/>
        <v>1137432683.5917356</v>
      </c>
      <c r="T31" s="7">
        <f t="shared" si="5"/>
        <v>1148807010.4276528</v>
      </c>
      <c r="U31" s="7">
        <f t="shared" si="5"/>
        <v>1160295080.5319293</v>
      </c>
      <c r="V31" s="7">
        <f t="shared" si="5"/>
        <v>1171898031.3372486</v>
      </c>
      <c r="W31" s="7">
        <f t="shared" si="5"/>
        <v>1183617011.6506209</v>
      </c>
      <c r="X31" s="7">
        <f t="shared" si="5"/>
        <v>1195453181.767127</v>
      </c>
    </row>
    <row r="32" spans="2:24" x14ac:dyDescent="0.2">
      <c r="B32" s="6" t="s">
        <v>1</v>
      </c>
      <c r="C32" s="7">
        <v>11104000</v>
      </c>
      <c r="D32" s="7">
        <v>26767000</v>
      </c>
      <c r="E32" s="7">
        <v>56646000</v>
      </c>
      <c r="F32" s="7">
        <v>75840000</v>
      </c>
      <c r="G32" s="7">
        <f>F32*I55+F32</f>
        <v>91008000</v>
      </c>
      <c r="H32" s="7">
        <f>G32*I55+G32</f>
        <v>109209600</v>
      </c>
      <c r="I32" s="7">
        <f>H32*I55+H32</f>
        <v>131051520</v>
      </c>
      <c r="J32" s="7">
        <f>I32*I55+I32</f>
        <v>157261824</v>
      </c>
      <c r="K32" s="7">
        <f>J32*J55+J32</f>
        <v>165124915.19999999</v>
      </c>
      <c r="L32" s="7">
        <f>K32*J55+K32</f>
        <v>173381160.95999998</v>
      </c>
      <c r="M32" s="7">
        <f>L32*J55+L32</f>
        <v>182050219.00799999</v>
      </c>
      <c r="N32" s="7">
        <f>M32*J55+M32</f>
        <v>191152729.95839998</v>
      </c>
      <c r="O32" s="7">
        <f>N32*J55+N32</f>
        <v>200710366.45631999</v>
      </c>
      <c r="P32" s="7">
        <f>O32*J55+O32</f>
        <v>210745884.779136</v>
      </c>
      <c r="Q32" s="7">
        <f>P32*J55+P32</f>
        <v>221283179.01809281</v>
      </c>
      <c r="R32" s="7">
        <f>Q32*J55+Q32</f>
        <v>232347337.96899745</v>
      </c>
      <c r="S32" s="7">
        <f>R32*J55+R32</f>
        <v>243964704.86744732</v>
      </c>
      <c r="T32" s="7">
        <f>S32*J55+S32</f>
        <v>256162940.1108197</v>
      </c>
      <c r="U32" s="7">
        <f>T32*J55+T32</f>
        <v>268971087.11636066</v>
      </c>
      <c r="V32" s="7">
        <f>U32*J55+U32</f>
        <v>282419641.4721787</v>
      </c>
      <c r="W32" s="7">
        <f>V32*J55+V32</f>
        <v>296540623.54578763</v>
      </c>
      <c r="X32" s="7">
        <f>W32*J55+W32</f>
        <v>311367654.723077</v>
      </c>
    </row>
    <row r="33" spans="2:46" x14ac:dyDescent="0.2">
      <c r="B33" s="6" t="s">
        <v>7</v>
      </c>
      <c r="D33" s="7">
        <v>140000</v>
      </c>
      <c r="E33" s="7">
        <v>4573000</v>
      </c>
      <c r="F33" s="7">
        <v>11817000</v>
      </c>
      <c r="G33" s="7">
        <v>10000000</v>
      </c>
      <c r="H33" s="7">
        <v>10000000</v>
      </c>
      <c r="I33" s="7">
        <v>10000000</v>
      </c>
      <c r="J33" s="7">
        <v>10000000</v>
      </c>
      <c r="K33" s="7">
        <v>10000000</v>
      </c>
      <c r="L33" s="7">
        <v>10000000</v>
      </c>
      <c r="M33" s="7">
        <v>10000000</v>
      </c>
      <c r="N33" s="7">
        <v>10000000</v>
      </c>
      <c r="O33" s="7">
        <v>10000000</v>
      </c>
      <c r="P33" s="7">
        <v>10000000</v>
      </c>
      <c r="Q33" s="7">
        <v>10000000</v>
      </c>
      <c r="R33" s="7">
        <v>10000000</v>
      </c>
      <c r="S33" s="7">
        <v>10000000</v>
      </c>
      <c r="T33" s="7">
        <v>10000000</v>
      </c>
      <c r="U33" s="7">
        <v>10000000</v>
      </c>
      <c r="V33" s="7">
        <v>10000000</v>
      </c>
      <c r="W33" s="7">
        <v>10000000</v>
      </c>
      <c r="X33" s="7">
        <v>10000000</v>
      </c>
    </row>
    <row r="34" spans="2:46" x14ac:dyDescent="0.2">
      <c r="B34" s="6" t="s">
        <v>8</v>
      </c>
      <c r="C34" s="8">
        <v>4687000</v>
      </c>
      <c r="D34" s="7">
        <v>6931000</v>
      </c>
      <c r="E34" s="7">
        <v>24382000</v>
      </c>
      <c r="F34" s="7">
        <v>18356000</v>
      </c>
      <c r="G34" s="7">
        <v>20000000</v>
      </c>
      <c r="H34" s="7">
        <v>20000000</v>
      </c>
      <c r="I34" s="7">
        <v>20000000</v>
      </c>
      <c r="J34" s="7">
        <v>20000000</v>
      </c>
      <c r="K34" s="7">
        <v>20000000</v>
      </c>
      <c r="L34" s="7">
        <v>20000000</v>
      </c>
      <c r="M34" s="7">
        <v>20000000</v>
      </c>
      <c r="N34" s="7">
        <v>20000000</v>
      </c>
      <c r="O34" s="7">
        <v>20000000</v>
      </c>
      <c r="P34" s="7">
        <v>20000000</v>
      </c>
      <c r="Q34" s="7">
        <v>20000000</v>
      </c>
      <c r="R34" s="7">
        <v>20000000</v>
      </c>
      <c r="S34" s="7">
        <v>20000000</v>
      </c>
      <c r="T34" s="7">
        <v>20000000</v>
      </c>
      <c r="U34" s="7">
        <v>20000000</v>
      </c>
      <c r="V34" s="7">
        <v>20000000</v>
      </c>
      <c r="W34" s="7">
        <v>20000000</v>
      </c>
      <c r="X34" s="7">
        <v>20000000</v>
      </c>
    </row>
    <row r="35" spans="2:46" x14ac:dyDescent="0.2">
      <c r="B35" s="6" t="s">
        <v>9</v>
      </c>
      <c r="C35" s="8">
        <v>2094000</v>
      </c>
      <c r="D35" s="7">
        <v>2255000</v>
      </c>
      <c r="E35" s="7">
        <v>2375000</v>
      </c>
      <c r="F35" s="7">
        <v>1477000</v>
      </c>
      <c r="G35" s="7">
        <v>2000000</v>
      </c>
      <c r="H35" s="7">
        <v>2000000</v>
      </c>
      <c r="I35" s="7">
        <v>2000000</v>
      </c>
      <c r="J35" s="7">
        <v>2000000</v>
      </c>
      <c r="K35" s="7">
        <v>2000000</v>
      </c>
      <c r="L35" s="7">
        <v>2000000</v>
      </c>
      <c r="M35" s="7">
        <v>2000000</v>
      </c>
      <c r="N35" s="7">
        <v>2000000</v>
      </c>
      <c r="O35" s="7">
        <v>2000000</v>
      </c>
      <c r="P35" s="7">
        <v>2000000</v>
      </c>
      <c r="Q35" s="7">
        <v>2000000</v>
      </c>
      <c r="R35" s="7">
        <v>2000000</v>
      </c>
      <c r="S35" s="7">
        <v>2000000</v>
      </c>
      <c r="T35" s="7">
        <v>2000000</v>
      </c>
      <c r="U35" s="7">
        <v>2000000</v>
      </c>
      <c r="V35" s="7">
        <v>2000000</v>
      </c>
      <c r="W35" s="7">
        <v>2000000</v>
      </c>
      <c r="X35" s="7">
        <v>2000000</v>
      </c>
    </row>
    <row r="36" spans="2:46" x14ac:dyDescent="0.2">
      <c r="B36" s="6" t="s">
        <v>10</v>
      </c>
      <c r="D36" s="7">
        <v>101000</v>
      </c>
      <c r="E36" s="7">
        <v>569000</v>
      </c>
      <c r="F36" s="7">
        <v>391000</v>
      </c>
      <c r="G36" s="7">
        <v>500000</v>
      </c>
      <c r="H36" s="7">
        <v>500000</v>
      </c>
      <c r="I36" s="7">
        <v>500000</v>
      </c>
      <c r="J36" s="7">
        <v>500000</v>
      </c>
      <c r="K36" s="7">
        <v>500000</v>
      </c>
      <c r="L36" s="7">
        <v>500000</v>
      </c>
      <c r="M36" s="7">
        <v>500000</v>
      </c>
      <c r="N36" s="7">
        <v>500000</v>
      </c>
      <c r="O36" s="7">
        <v>500000</v>
      </c>
      <c r="P36" s="7">
        <v>500000</v>
      </c>
      <c r="Q36" s="7">
        <v>500000</v>
      </c>
      <c r="R36" s="7">
        <v>500000</v>
      </c>
      <c r="S36" s="7">
        <v>500000</v>
      </c>
      <c r="T36" s="7">
        <v>500000</v>
      </c>
      <c r="U36" s="7">
        <v>500000</v>
      </c>
      <c r="V36" s="7">
        <v>500000</v>
      </c>
      <c r="W36" s="7">
        <v>500000</v>
      </c>
      <c r="X36" s="7">
        <v>500000</v>
      </c>
    </row>
    <row r="37" spans="2:46" x14ac:dyDescent="0.2">
      <c r="B37" s="6" t="s">
        <v>11</v>
      </c>
      <c r="C37" s="7">
        <v>1885000</v>
      </c>
      <c r="D37" s="7">
        <v>2406000</v>
      </c>
      <c r="E37" s="7"/>
      <c r="F37" s="7"/>
      <c r="G37" s="7">
        <v>1000000</v>
      </c>
      <c r="H37" s="7">
        <v>1000000</v>
      </c>
      <c r="I37" s="7">
        <v>1000000</v>
      </c>
      <c r="J37" s="7">
        <v>1000000</v>
      </c>
      <c r="K37" s="7">
        <v>1000000</v>
      </c>
      <c r="L37" s="7">
        <v>1000000</v>
      </c>
      <c r="M37" s="7">
        <v>1000000</v>
      </c>
      <c r="N37" s="7">
        <v>1000000</v>
      </c>
      <c r="O37" s="7">
        <v>1000000</v>
      </c>
      <c r="P37" s="7">
        <v>1000000</v>
      </c>
      <c r="Q37" s="7">
        <v>1000000</v>
      </c>
      <c r="R37" s="7">
        <v>1000000</v>
      </c>
      <c r="S37" s="7">
        <v>1000000</v>
      </c>
      <c r="T37" s="7">
        <v>1000000</v>
      </c>
      <c r="U37" s="7">
        <v>1000000</v>
      </c>
      <c r="V37" s="7">
        <v>1000000</v>
      </c>
      <c r="W37" s="7">
        <v>1000000</v>
      </c>
      <c r="X37" s="7">
        <v>1000000</v>
      </c>
    </row>
    <row r="38" spans="2:46" x14ac:dyDescent="0.2">
      <c r="B38" s="6" t="s">
        <v>12</v>
      </c>
      <c r="D38" s="7"/>
      <c r="E38" s="7">
        <v>1809000</v>
      </c>
      <c r="F38" s="7"/>
      <c r="G38" s="7">
        <v>1000000</v>
      </c>
      <c r="H38" s="7">
        <v>1000000</v>
      </c>
      <c r="I38" s="7">
        <v>1000000</v>
      </c>
      <c r="J38" s="7">
        <v>1000000</v>
      </c>
      <c r="K38" s="7">
        <v>1000000</v>
      </c>
      <c r="L38" s="7">
        <v>1000000</v>
      </c>
      <c r="M38" s="7">
        <v>1000000</v>
      </c>
      <c r="N38" s="7">
        <v>1000000</v>
      </c>
      <c r="O38" s="7">
        <v>1000000</v>
      </c>
      <c r="P38" s="7">
        <v>1000000</v>
      </c>
      <c r="Q38" s="7">
        <v>1000000</v>
      </c>
      <c r="R38" s="7">
        <v>1000000</v>
      </c>
      <c r="S38" s="7">
        <v>1000000</v>
      </c>
      <c r="T38" s="7">
        <v>1000000</v>
      </c>
      <c r="U38" s="7">
        <v>1000000</v>
      </c>
      <c r="V38" s="7">
        <v>1000000</v>
      </c>
      <c r="W38" s="7">
        <v>1000000</v>
      </c>
      <c r="X38" s="7">
        <v>1000000</v>
      </c>
    </row>
    <row r="39" spans="2:46" x14ac:dyDescent="0.2">
      <c r="B39" s="6" t="s">
        <v>13</v>
      </c>
      <c r="D39" s="7">
        <v>66615000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</row>
    <row r="40" spans="2:46" x14ac:dyDescent="0.2">
      <c r="B40" s="5" t="s">
        <v>14</v>
      </c>
      <c r="C40" s="8">
        <f>C32+C33+C34+C35+C36+C37+C38+C39+C30</f>
        <v>81031000</v>
      </c>
      <c r="D40" s="8">
        <f t="shared" ref="D40:X40" si="6">D32+D33+D34+D35+D36+D37+D38+D39+D30</f>
        <v>169013000</v>
      </c>
      <c r="E40" s="8">
        <f>E32+E33+E34+E35+E36+E37+E38+E39+E30</f>
        <v>166607000</v>
      </c>
      <c r="F40" s="8">
        <f t="shared" si="6"/>
        <v>200099000</v>
      </c>
      <c r="G40" s="8">
        <f t="shared" si="6"/>
        <v>209508000</v>
      </c>
      <c r="H40" s="8">
        <f t="shared" si="6"/>
        <v>273709600</v>
      </c>
      <c r="I40" s="8">
        <f t="shared" si="6"/>
        <v>324551520</v>
      </c>
      <c r="J40" s="8">
        <f t="shared" si="6"/>
        <v>451761824</v>
      </c>
      <c r="K40" s="8">
        <f t="shared" si="6"/>
        <v>462224915.19999999</v>
      </c>
      <c r="L40" s="8">
        <f t="shared" si="6"/>
        <v>473107160.95999998</v>
      </c>
      <c r="M40" s="8">
        <f t="shared" si="6"/>
        <v>484428479.00800002</v>
      </c>
      <c r="N40" s="8">
        <f t="shared" si="6"/>
        <v>496209772.55839992</v>
      </c>
      <c r="O40" s="8">
        <f t="shared" si="6"/>
        <v>508472979.48232001</v>
      </c>
      <c r="P40" s="8">
        <f t="shared" si="6"/>
        <v>521241123.93539602</v>
      </c>
      <c r="Q40" s="8">
        <f t="shared" si="6"/>
        <v>534538370.56591529</v>
      </c>
      <c r="R40" s="8">
        <f t="shared" si="6"/>
        <v>548390081.43229818</v>
      </c>
      <c r="S40" s="8">
        <f t="shared" si="6"/>
        <v>562822875.7653811</v>
      </c>
      <c r="T40" s="8">
        <f t="shared" si="6"/>
        <v>577864692.71773279</v>
      </c>
      <c r="U40" s="8">
        <f t="shared" si="6"/>
        <v>593544857.24934292</v>
      </c>
      <c r="V40" s="8">
        <f t="shared" si="6"/>
        <v>609894149.30649066</v>
      </c>
      <c r="W40" s="8">
        <f t="shared" si="6"/>
        <v>626944876.45844269</v>
      </c>
      <c r="X40" s="8">
        <f t="shared" si="6"/>
        <v>644730950.16485882</v>
      </c>
    </row>
    <row r="41" spans="2:46" x14ac:dyDescent="0.2">
      <c r="B41" s="5" t="s">
        <v>15</v>
      </c>
      <c r="C41" s="8">
        <f>C29-C40</f>
        <v>-7620000</v>
      </c>
      <c r="D41" s="8">
        <f t="shared" ref="D41:X41" si="7">D29-D40</f>
        <v>-34703000</v>
      </c>
      <c r="E41" s="8">
        <f t="shared" si="7"/>
        <v>165345000</v>
      </c>
      <c r="F41" s="8">
        <f t="shared" si="7"/>
        <v>327411000</v>
      </c>
      <c r="G41" s="8">
        <f t="shared" si="7"/>
        <v>210492000</v>
      </c>
      <c r="H41" s="8">
        <f t="shared" si="7"/>
        <v>376290400</v>
      </c>
      <c r="I41" s="8">
        <f t="shared" si="7"/>
        <v>470448480</v>
      </c>
      <c r="J41" s="8">
        <f t="shared" si="7"/>
        <v>848238176</v>
      </c>
      <c r="K41" s="8">
        <f t="shared" si="7"/>
        <v>850775084.79999995</v>
      </c>
      <c r="L41" s="8">
        <f t="shared" si="7"/>
        <v>853022839.03999996</v>
      </c>
      <c r="M41" s="8">
        <f t="shared" si="7"/>
        <v>854962820.99199998</v>
      </c>
      <c r="N41" s="8">
        <f t="shared" si="7"/>
        <v>856575440.44160008</v>
      </c>
      <c r="O41" s="8">
        <f t="shared" si="7"/>
        <v>857840085.64768004</v>
      </c>
      <c r="P41" s="8">
        <f t="shared" si="7"/>
        <v>858735071.84590411</v>
      </c>
      <c r="Q41" s="8">
        <f t="shared" si="7"/>
        <v>859237587.17319775</v>
      </c>
      <c r="R41" s="8">
        <f t="shared" si="7"/>
        <v>859323635.88420606</v>
      </c>
      <c r="S41" s="8">
        <f t="shared" si="7"/>
        <v>858967978.72428823</v>
      </c>
      <c r="T41" s="8">
        <f t="shared" si="7"/>
        <v>858144070.31683314</v>
      </c>
      <c r="U41" s="8">
        <f t="shared" si="7"/>
        <v>856823993.41556859</v>
      </c>
      <c r="V41" s="8">
        <f t="shared" si="7"/>
        <v>854978389.86506987</v>
      </c>
      <c r="W41" s="8">
        <f t="shared" si="7"/>
        <v>852576388.10483336</v>
      </c>
      <c r="X41" s="8">
        <f t="shared" si="7"/>
        <v>849585527.04404998</v>
      </c>
    </row>
    <row r="42" spans="2:46" x14ac:dyDescent="0.2">
      <c r="B42" s="6" t="s">
        <v>42</v>
      </c>
      <c r="C42" s="8">
        <v>4278000</v>
      </c>
      <c r="D42" s="7">
        <v>251000</v>
      </c>
      <c r="E42" s="7">
        <v>3754000</v>
      </c>
      <c r="F42" s="7">
        <v>19527000</v>
      </c>
      <c r="G42" s="7">
        <v>10000000</v>
      </c>
      <c r="H42" s="7">
        <v>10000000</v>
      </c>
      <c r="I42" s="7">
        <v>10000000</v>
      </c>
      <c r="J42" s="7">
        <v>10000000</v>
      </c>
      <c r="K42" s="7">
        <v>10000000</v>
      </c>
      <c r="L42" s="7">
        <v>10000000</v>
      </c>
      <c r="M42" s="7">
        <v>10000000</v>
      </c>
      <c r="N42" s="7">
        <v>10000000</v>
      </c>
      <c r="O42" s="7">
        <v>10000000</v>
      </c>
      <c r="P42" s="7">
        <v>10000000</v>
      </c>
      <c r="Q42" s="7">
        <v>10000000</v>
      </c>
      <c r="R42" s="7">
        <v>10000000</v>
      </c>
      <c r="S42" s="7">
        <v>10000000</v>
      </c>
      <c r="T42" s="7">
        <v>10000000</v>
      </c>
      <c r="U42" s="7">
        <v>10000000</v>
      </c>
      <c r="V42" s="7">
        <v>10000000</v>
      </c>
      <c r="W42" s="7">
        <v>10000000</v>
      </c>
      <c r="X42" s="7">
        <v>10000000</v>
      </c>
    </row>
    <row r="43" spans="2:46" x14ac:dyDescent="0.2">
      <c r="B43" s="6" t="s">
        <v>16</v>
      </c>
      <c r="C43" s="7">
        <v>-3412000</v>
      </c>
      <c r="D43" s="7">
        <v>-5009000</v>
      </c>
      <c r="E43" s="7">
        <v>-8904000</v>
      </c>
      <c r="F43" s="7">
        <v>-5786000</v>
      </c>
      <c r="G43" s="7">
        <v>-6000000</v>
      </c>
      <c r="H43" s="7">
        <v>-6000000</v>
      </c>
      <c r="I43" s="7">
        <v>-6000000</v>
      </c>
      <c r="J43" s="7">
        <v>-6000000</v>
      </c>
      <c r="K43" s="7">
        <v>-6000000</v>
      </c>
      <c r="L43" s="7">
        <v>-6000000</v>
      </c>
      <c r="M43" s="7">
        <v>-6000000</v>
      </c>
      <c r="N43" s="7">
        <v>-6000000</v>
      </c>
      <c r="O43" s="7">
        <v>-6000000</v>
      </c>
      <c r="P43" s="7">
        <v>-6000000</v>
      </c>
      <c r="Q43" s="7">
        <v>-6000000</v>
      </c>
      <c r="R43" s="7">
        <v>-6000000</v>
      </c>
      <c r="S43" s="7">
        <v>-6000000</v>
      </c>
      <c r="T43" s="7">
        <v>-6000000</v>
      </c>
      <c r="U43" s="7">
        <v>-6000000</v>
      </c>
      <c r="V43" s="7">
        <v>-6000000</v>
      </c>
      <c r="W43" s="7">
        <v>-6000000</v>
      </c>
      <c r="X43" s="7">
        <v>-6000000</v>
      </c>
    </row>
    <row r="44" spans="2:46" x14ac:dyDescent="0.2">
      <c r="B44" s="6" t="s">
        <v>2</v>
      </c>
      <c r="C44" s="8">
        <f>C41+C42+C43</f>
        <v>-6754000</v>
      </c>
      <c r="D44" s="8">
        <f t="shared" ref="D44:X44" si="8">D41+D42+D43</f>
        <v>-39461000</v>
      </c>
      <c r="E44" s="8">
        <f t="shared" si="8"/>
        <v>160195000</v>
      </c>
      <c r="F44" s="8">
        <f t="shared" si="8"/>
        <v>341152000</v>
      </c>
      <c r="G44" s="8">
        <f t="shared" si="8"/>
        <v>214492000</v>
      </c>
      <c r="H44" s="8">
        <f t="shared" si="8"/>
        <v>380290400</v>
      </c>
      <c r="I44" s="8">
        <f t="shared" si="8"/>
        <v>474448480</v>
      </c>
      <c r="J44" s="8">
        <f t="shared" si="8"/>
        <v>852238176</v>
      </c>
      <c r="K44" s="8">
        <f t="shared" si="8"/>
        <v>854775084.79999995</v>
      </c>
      <c r="L44" s="8">
        <f t="shared" si="8"/>
        <v>857022839.03999996</v>
      </c>
      <c r="M44" s="8">
        <f t="shared" si="8"/>
        <v>858962820.99199998</v>
      </c>
      <c r="N44" s="8">
        <f t="shared" si="8"/>
        <v>860575440.44160008</v>
      </c>
      <c r="O44" s="8">
        <f t="shared" si="8"/>
        <v>861840085.64768004</v>
      </c>
      <c r="P44" s="8">
        <f t="shared" si="8"/>
        <v>862735071.84590411</v>
      </c>
      <c r="Q44" s="8">
        <f t="shared" si="8"/>
        <v>863237587.17319775</v>
      </c>
      <c r="R44" s="8">
        <f t="shared" si="8"/>
        <v>863323635.88420606</v>
      </c>
      <c r="S44" s="8">
        <f t="shared" si="8"/>
        <v>862967978.72428823</v>
      </c>
      <c r="T44" s="8">
        <f t="shared" si="8"/>
        <v>862144070.31683314</v>
      </c>
      <c r="U44" s="8">
        <f t="shared" si="8"/>
        <v>860823993.41556859</v>
      </c>
      <c r="V44" s="8">
        <f t="shared" si="8"/>
        <v>858978389.86506987</v>
      </c>
      <c r="W44" s="8">
        <f t="shared" si="8"/>
        <v>856576388.10483336</v>
      </c>
      <c r="X44" s="8">
        <f t="shared" si="8"/>
        <v>853585527.04404998</v>
      </c>
    </row>
    <row r="45" spans="2:46" x14ac:dyDescent="0.2">
      <c r="B45" s="6" t="s">
        <v>17</v>
      </c>
      <c r="C45" s="7">
        <v>-1000</v>
      </c>
      <c r="D45" s="7">
        <v>17636000</v>
      </c>
      <c r="E45" s="7">
        <v>-25158000</v>
      </c>
      <c r="F45" s="7">
        <v>-52148000</v>
      </c>
      <c r="G45" s="7">
        <f>-(G44*G52)</f>
        <v>-42898400</v>
      </c>
      <c r="H45" s="7">
        <f>-(H44*H52)</f>
        <v>-76058080</v>
      </c>
      <c r="I45" s="7">
        <f>-(I44*I52)</f>
        <v>-94889696</v>
      </c>
      <c r="J45" s="7">
        <f t="shared" ref="J45:X45" si="9">-(J44*J52)</f>
        <v>-170447635.20000002</v>
      </c>
      <c r="K45" s="7">
        <f t="shared" si="9"/>
        <v>-170955016.96000001</v>
      </c>
      <c r="L45" s="7">
        <f t="shared" si="9"/>
        <v>-171404567.808</v>
      </c>
      <c r="M45" s="7">
        <f t="shared" si="9"/>
        <v>-171792564.19840002</v>
      </c>
      <c r="N45" s="7">
        <f t="shared" si="9"/>
        <v>-172115088.08832002</v>
      </c>
      <c r="O45" s="7">
        <f t="shared" si="9"/>
        <v>-172368017.12953603</v>
      </c>
      <c r="P45" s="7">
        <f t="shared" si="9"/>
        <v>-172547014.36918083</v>
      </c>
      <c r="Q45" s="7">
        <f t="shared" si="9"/>
        <v>-172647517.43463957</v>
      </c>
      <c r="R45" s="7">
        <f t="shared" si="9"/>
        <v>-172664727.17684123</v>
      </c>
      <c r="S45" s="7">
        <f t="shared" si="9"/>
        <v>-172593595.74485767</v>
      </c>
      <c r="T45" s="7">
        <f t="shared" si="9"/>
        <v>-172428814.06336665</v>
      </c>
      <c r="U45" s="7">
        <f t="shared" si="9"/>
        <v>-172164798.68311372</v>
      </c>
      <c r="V45" s="7">
        <f t="shared" si="9"/>
        <v>-171795677.973014</v>
      </c>
      <c r="W45" s="7">
        <f t="shared" si="9"/>
        <v>-171315277.62096667</v>
      </c>
      <c r="X45" s="7">
        <f t="shared" si="9"/>
        <v>-170717105.40881002</v>
      </c>
    </row>
    <row r="46" spans="2:46" x14ac:dyDescent="0.2">
      <c r="B46" s="10" t="s">
        <v>3</v>
      </c>
      <c r="C46" s="13">
        <f>C44+C45</f>
        <v>-6755000</v>
      </c>
      <c r="D46" s="13">
        <f t="shared" ref="D46:X46" si="10">D44+D45</f>
        <v>-21825000</v>
      </c>
      <c r="E46" s="13">
        <f t="shared" si="10"/>
        <v>135037000</v>
      </c>
      <c r="F46" s="13">
        <f t="shared" si="10"/>
        <v>289004000</v>
      </c>
      <c r="G46" s="13">
        <f t="shared" si="10"/>
        <v>171593600</v>
      </c>
      <c r="H46" s="13">
        <f t="shared" si="10"/>
        <v>304232320</v>
      </c>
      <c r="I46" s="13">
        <f t="shared" si="10"/>
        <v>379558784</v>
      </c>
      <c r="J46" s="13">
        <f t="shared" si="10"/>
        <v>681790540.79999995</v>
      </c>
      <c r="K46" s="13">
        <f t="shared" si="10"/>
        <v>683820067.83999991</v>
      </c>
      <c r="L46" s="13">
        <f t="shared" si="10"/>
        <v>685618271.23199999</v>
      </c>
      <c r="M46" s="13">
        <f t="shared" si="10"/>
        <v>687170256.79359996</v>
      </c>
      <c r="N46" s="13">
        <f t="shared" si="10"/>
        <v>688460352.35328007</v>
      </c>
      <c r="O46" s="13">
        <f t="shared" si="10"/>
        <v>689472068.51814401</v>
      </c>
      <c r="P46" s="13">
        <f t="shared" si="10"/>
        <v>690188057.47672331</v>
      </c>
      <c r="Q46" s="13">
        <f t="shared" si="10"/>
        <v>690590069.73855817</v>
      </c>
      <c r="R46" s="13">
        <f t="shared" si="10"/>
        <v>690658908.7073648</v>
      </c>
      <c r="S46" s="13">
        <f t="shared" si="10"/>
        <v>690374382.97943056</v>
      </c>
      <c r="T46" s="13">
        <f t="shared" si="10"/>
        <v>689715256.25346649</v>
      </c>
      <c r="U46" s="13">
        <f t="shared" si="10"/>
        <v>688659194.7324549</v>
      </c>
      <c r="V46" s="13">
        <f t="shared" si="10"/>
        <v>687182711.89205587</v>
      </c>
      <c r="W46" s="13">
        <f t="shared" si="10"/>
        <v>685261110.48386669</v>
      </c>
      <c r="X46" s="13">
        <f t="shared" si="10"/>
        <v>682868421.63523996</v>
      </c>
      <c r="Y46" s="8">
        <f>X46*I59+X46</f>
        <v>676039737.41888762</v>
      </c>
      <c r="Z46" s="8">
        <f>Y46*I59+Y46</f>
        <v>669279340.04469872</v>
      </c>
      <c r="AA46" s="8">
        <f>Z46*I59+Z46</f>
        <v>662586546.6442517</v>
      </c>
      <c r="AB46" s="8">
        <f>AA46*I59+AA46</f>
        <v>655960681.17780924</v>
      </c>
      <c r="AC46" s="8">
        <f>AB46*I59+AB46</f>
        <v>649401074.36603117</v>
      </c>
      <c r="AD46" s="8">
        <f>AC46*I59+AC46</f>
        <v>642907063.62237084</v>
      </c>
      <c r="AE46" s="8">
        <f>AD46*OI9+AD46</f>
        <v>642907063.62237084</v>
      </c>
      <c r="AF46" s="8">
        <f>AE46*I59+AE46</f>
        <v>636477992.98614717</v>
      </c>
      <c r="AG46" s="8">
        <f>AF46*I59+AF46</f>
        <v>630113213.05628574</v>
      </c>
      <c r="AH46" s="8">
        <f>AG46*I59+AG46</f>
        <v>623812080.92572284</v>
      </c>
      <c r="AI46" s="8">
        <f>AH46*I59+AH46</f>
        <v>617573960.11646557</v>
      </c>
      <c r="AJ46" s="8">
        <f>AI46*I59+AI46</f>
        <v>611398220.51530087</v>
      </c>
      <c r="AK46" s="8">
        <f>AJ46*UI9+AJ46</f>
        <v>611398220.51530087</v>
      </c>
      <c r="AL46" s="8">
        <f>AK46*I59+AK46</f>
        <v>605284238.31014788</v>
      </c>
      <c r="AM46" s="8">
        <f>AL46*I59+AL46</f>
        <v>599231395.92704642</v>
      </c>
      <c r="AN46" s="8">
        <f>AM46*I59+AM46</f>
        <v>593239081.96777594</v>
      </c>
      <c r="AO46" s="8">
        <f>AN46*I59+AN46</f>
        <v>587306691.14809823</v>
      </c>
      <c r="AP46" s="8">
        <f>AO46*I59+AO46</f>
        <v>581433624.23661721</v>
      </c>
      <c r="AQ46" s="8">
        <f>AP46*I59+AP46</f>
        <v>575619287.99425101</v>
      </c>
      <c r="AR46" s="8">
        <f>AQ46*I59+AQ46</f>
        <v>569863095.11430848</v>
      </c>
      <c r="AS46" s="8">
        <f>AR46*I59+AR46</f>
        <v>564164464.16316545</v>
      </c>
      <c r="AT46" s="8">
        <f>AS46*I59+AS46</f>
        <v>558522819.52153385</v>
      </c>
    </row>
    <row r="47" spans="2:46" x14ac:dyDescent="0.2">
      <c r="B47" s="6" t="s">
        <v>18</v>
      </c>
      <c r="F47" s="7">
        <f>F46/F48</f>
        <v>1.627111742942198</v>
      </c>
      <c r="G47" s="7">
        <f t="shared" ref="G47:X47" si="11">G46/G48</f>
        <v>0.96400898876404495</v>
      </c>
      <c r="H47" s="7">
        <f t="shared" si="11"/>
        <v>1.7091703370786517</v>
      </c>
      <c r="I47" s="7">
        <f t="shared" si="11"/>
        <v>2.1323527191011236</v>
      </c>
      <c r="J47" s="7">
        <f t="shared" si="11"/>
        <v>3.8302839370786512</v>
      </c>
      <c r="K47" s="7">
        <f t="shared" si="11"/>
        <v>3.8416857743820221</v>
      </c>
      <c r="L47" s="7">
        <f t="shared" si="11"/>
        <v>3.8517880406292133</v>
      </c>
      <c r="M47" s="7">
        <f t="shared" si="11"/>
        <v>3.8605070606382021</v>
      </c>
      <c r="N47" s="7">
        <f t="shared" si="11"/>
        <v>3.8677547885015735</v>
      </c>
      <c r="O47" s="7">
        <f t="shared" si="11"/>
        <v>3.8734385871805843</v>
      </c>
      <c r="P47" s="7">
        <f t="shared" si="11"/>
        <v>3.8774609970602434</v>
      </c>
      <c r="Q47" s="7">
        <f t="shared" si="11"/>
        <v>3.8797194929132481</v>
      </c>
      <c r="R47" s="7">
        <f t="shared" si="11"/>
        <v>3.8801062286930605</v>
      </c>
      <c r="S47" s="7">
        <f t="shared" si="11"/>
        <v>3.8785077695473626</v>
      </c>
      <c r="T47" s="7">
        <f t="shared" si="11"/>
        <v>3.8748048104127331</v>
      </c>
      <c r="U47" s="7">
        <f t="shared" si="11"/>
        <v>3.8688718805194093</v>
      </c>
      <c r="V47" s="7">
        <f t="shared" si="11"/>
        <v>3.8605770331014373</v>
      </c>
      <c r="W47" s="7">
        <f t="shared" si="11"/>
        <v>3.8497815195722849</v>
      </c>
      <c r="X47" s="7">
        <f t="shared" si="11"/>
        <v>3.8363394473889887</v>
      </c>
    </row>
    <row r="48" spans="2:46" x14ac:dyDescent="0.2">
      <c r="B48" s="6" t="s">
        <v>4</v>
      </c>
      <c r="C48" s="9">
        <v>66556975</v>
      </c>
      <c r="F48" s="9">
        <v>177617795</v>
      </c>
      <c r="G48" s="9">
        <v>178000000</v>
      </c>
      <c r="H48" s="9">
        <v>178000000</v>
      </c>
      <c r="I48" s="9">
        <v>178000000</v>
      </c>
      <c r="J48" s="9">
        <v>178000000</v>
      </c>
      <c r="K48" s="9">
        <v>178000000</v>
      </c>
      <c r="L48" s="9">
        <v>178000000</v>
      </c>
      <c r="M48" s="9">
        <v>178000000</v>
      </c>
      <c r="N48" s="9">
        <v>178000000</v>
      </c>
      <c r="O48" s="9">
        <v>178000000</v>
      </c>
      <c r="P48" s="9">
        <v>178000000</v>
      </c>
      <c r="Q48" s="9">
        <v>178000000</v>
      </c>
      <c r="R48" s="9">
        <v>178000000</v>
      </c>
      <c r="S48" s="9">
        <v>178000000</v>
      </c>
      <c r="T48" s="9">
        <v>178000000</v>
      </c>
      <c r="U48" s="9">
        <v>178000000</v>
      </c>
      <c r="V48" s="9">
        <v>178000000</v>
      </c>
      <c r="W48" s="9">
        <v>178000000</v>
      </c>
      <c r="X48" s="9">
        <v>178000000</v>
      </c>
    </row>
    <row r="50" spans="2:24" x14ac:dyDescent="0.2">
      <c r="B50" s="6" t="s">
        <v>43</v>
      </c>
      <c r="D50" s="16">
        <f>D29/C29-1</f>
        <v>0.82956232717167722</v>
      </c>
      <c r="E50" s="16">
        <f t="shared" ref="E50:J50" si="12">E29/D29-1</f>
        <v>1.4715359988087262</v>
      </c>
      <c r="F50" s="16">
        <f t="shared" si="12"/>
        <v>0.58911529377741356</v>
      </c>
      <c r="G50" s="16">
        <f t="shared" si="12"/>
        <v>-0.20380656290875998</v>
      </c>
      <c r="H50" s="16">
        <f t="shared" si="12"/>
        <v>0.54761904761904767</v>
      </c>
      <c r="I50" s="16">
        <f t="shared" si="12"/>
        <v>0.22307692307692317</v>
      </c>
      <c r="J50" s="16">
        <f t="shared" si="12"/>
        <v>0.6352201257861636</v>
      </c>
      <c r="K50" s="16">
        <v>0.01</v>
      </c>
      <c r="L50" s="16">
        <v>0.01</v>
      </c>
      <c r="M50" s="16">
        <v>0.01</v>
      </c>
      <c r="N50" s="16">
        <v>0.01</v>
      </c>
      <c r="O50" s="16">
        <v>0.01</v>
      </c>
      <c r="P50" s="16">
        <v>0.01</v>
      </c>
      <c r="Q50" s="16">
        <v>0.01</v>
      </c>
      <c r="R50" s="16">
        <v>0.01</v>
      </c>
      <c r="S50" s="16">
        <v>0.01</v>
      </c>
      <c r="T50" s="16">
        <v>0.01</v>
      </c>
      <c r="U50" s="16">
        <v>0.01</v>
      </c>
      <c r="V50" s="16">
        <v>0.01</v>
      </c>
      <c r="W50" s="16">
        <v>0.01</v>
      </c>
      <c r="X50" s="16">
        <v>0.01</v>
      </c>
    </row>
    <row r="51" spans="2:24" x14ac:dyDescent="0.2">
      <c r="B51" s="6" t="s">
        <v>71</v>
      </c>
      <c r="C51" s="16">
        <f>C31/C29</f>
        <v>0.16550653171867977</v>
      </c>
      <c r="D51" s="16">
        <f t="shared" ref="D51:F51" si="13">D31/D29</f>
        <v>0.52499441590350682</v>
      </c>
      <c r="E51" s="16">
        <f t="shared" si="13"/>
        <v>0.77028907793897916</v>
      </c>
      <c r="F51" s="16">
        <f t="shared" si="13"/>
        <v>0.82518246099600012</v>
      </c>
      <c r="G51" s="16">
        <v>0.8</v>
      </c>
      <c r="H51" s="16">
        <v>0.8</v>
      </c>
      <c r="I51" s="16">
        <v>0.8</v>
      </c>
      <c r="J51" s="16">
        <v>0.8</v>
      </c>
      <c r="K51" s="16">
        <v>0.8</v>
      </c>
      <c r="L51" s="16">
        <v>0.8</v>
      </c>
      <c r="M51" s="16">
        <v>0.8</v>
      </c>
      <c r="N51" s="16">
        <v>0.8</v>
      </c>
      <c r="O51" s="16">
        <v>0.8</v>
      </c>
      <c r="P51" s="16">
        <v>0.8</v>
      </c>
      <c r="Q51" s="16">
        <v>0.8</v>
      </c>
      <c r="R51" s="16">
        <v>0.8</v>
      </c>
      <c r="S51" s="16">
        <v>0.8</v>
      </c>
      <c r="T51" s="16">
        <v>0.8</v>
      </c>
      <c r="U51" s="16">
        <v>0.8</v>
      </c>
      <c r="V51" s="16">
        <v>0.8</v>
      </c>
      <c r="W51" s="16">
        <v>0.8</v>
      </c>
      <c r="X51" s="16">
        <v>0.8</v>
      </c>
    </row>
    <row r="52" spans="2:24" x14ac:dyDescent="0.2">
      <c r="B52" s="6" t="s">
        <v>44</v>
      </c>
      <c r="E52" s="16">
        <f>(25158000/E46)</f>
        <v>0.18630449432377794</v>
      </c>
      <c r="F52" s="16">
        <f>(52148000/F46)</f>
        <v>0.18044040912928541</v>
      </c>
      <c r="G52" s="16">
        <v>0.2</v>
      </c>
      <c r="H52" s="16">
        <v>0.2</v>
      </c>
      <c r="I52" s="16">
        <v>0.2</v>
      </c>
      <c r="J52" s="16">
        <v>0.2</v>
      </c>
      <c r="K52" s="16">
        <v>0.2</v>
      </c>
      <c r="L52" s="16">
        <v>0.2</v>
      </c>
      <c r="M52" s="16">
        <v>0.2</v>
      </c>
      <c r="N52" s="16">
        <v>0.2</v>
      </c>
      <c r="O52" s="16">
        <v>0.2</v>
      </c>
      <c r="P52" s="16">
        <v>0.2</v>
      </c>
      <c r="Q52" s="16">
        <v>0.2</v>
      </c>
      <c r="R52" s="16">
        <v>0.2</v>
      </c>
      <c r="S52" s="16">
        <v>0.2</v>
      </c>
      <c r="T52" s="16">
        <v>0.2</v>
      </c>
      <c r="U52" s="16">
        <v>0.2</v>
      </c>
      <c r="V52" s="16">
        <v>0.2</v>
      </c>
      <c r="W52" s="16">
        <v>0.2</v>
      </c>
      <c r="X52" s="16">
        <v>0.2</v>
      </c>
    </row>
    <row r="55" spans="2:24" x14ac:dyDescent="0.2">
      <c r="B55" s="11" t="s">
        <v>45</v>
      </c>
      <c r="C55" s="18">
        <v>0.1</v>
      </c>
      <c r="E55" s="12" t="s">
        <v>48</v>
      </c>
      <c r="F55" s="14">
        <v>20</v>
      </c>
      <c r="H55" s="19" t="s">
        <v>1</v>
      </c>
      <c r="I55" s="20">
        <v>0.2</v>
      </c>
      <c r="J55" s="20">
        <v>0.05</v>
      </c>
    </row>
    <row r="56" spans="2:24" x14ac:dyDescent="0.2">
      <c r="B56" s="11" t="s">
        <v>46</v>
      </c>
      <c r="C56" s="21">
        <f>NPV(C55,G46:AT46)</f>
        <v>5622130173.7684193</v>
      </c>
      <c r="E56" s="12" t="s">
        <v>4</v>
      </c>
      <c r="F56" s="17">
        <v>178000000</v>
      </c>
      <c r="H56" s="19" t="s">
        <v>67</v>
      </c>
      <c r="I56" s="20"/>
      <c r="J56" s="20"/>
    </row>
    <row r="57" spans="2:24" x14ac:dyDescent="0.2">
      <c r="B57" s="11" t="s">
        <v>47</v>
      </c>
      <c r="C57" s="22">
        <f>C56/F56</f>
        <v>31.585000976227075</v>
      </c>
      <c r="E57" s="12" t="s">
        <v>49</v>
      </c>
      <c r="F57" s="14">
        <f>F55*F56</f>
        <v>3560000000</v>
      </c>
    </row>
    <row r="58" spans="2:24" x14ac:dyDescent="0.2">
      <c r="E58" s="12" t="s">
        <v>50</v>
      </c>
      <c r="F58" s="14">
        <v>1182345000</v>
      </c>
    </row>
    <row r="59" spans="2:24" x14ac:dyDescent="0.2">
      <c r="B59" s="11" t="s">
        <v>70</v>
      </c>
      <c r="C59" s="22">
        <f>C56/C61</f>
        <v>29.054936298544803</v>
      </c>
      <c r="E59" s="12" t="s">
        <v>51</v>
      </c>
      <c r="F59" s="14">
        <v>250000000</v>
      </c>
      <c r="H59" s="19" t="s">
        <v>68</v>
      </c>
      <c r="I59" s="20">
        <v>-0.01</v>
      </c>
    </row>
    <row r="60" spans="2:24" x14ac:dyDescent="0.2">
      <c r="E60" s="12" t="s">
        <v>52</v>
      </c>
      <c r="F60" s="12"/>
    </row>
    <row r="61" spans="2:24" x14ac:dyDescent="0.2">
      <c r="B61" s="23" t="s">
        <v>69</v>
      </c>
      <c r="C61" s="23">
        <v>193500000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suzanne mccall</dc:creator>
  <cp:lastModifiedBy>suzanne mccall</cp:lastModifiedBy>
  <dcterms:created xsi:type="dcterms:W3CDTF">2023-04-09T18:15:26Z</dcterms:created>
  <dcterms:modified xsi:type="dcterms:W3CDTF">2023-05-02T23:45:33Z</dcterms:modified>
</cp:coreProperties>
</file>